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xr:revisionPtr revIDLastSave="0" documentId="8_{59D39533-0D85-4A75-9B54-F882D4F914B9}" xr6:coauthVersionLast="47" xr6:coauthVersionMax="47" xr10:uidLastSave="{00000000-0000-0000-0000-000000000000}"/>
  <bookViews>
    <workbookView xWindow="240" yWindow="105" windowWidth="14805" windowHeight="8010" firstSheet="5" activeTab="7" xr2:uid="{00000000-000D-0000-FFFF-FFFF00000000}"/>
  </bookViews>
  <sheets>
    <sheet name="VLOOKUP with exact match" sheetId="1" r:id="rId1"/>
    <sheet name="VLOOKUP with approximate match" sheetId="2" r:id="rId2"/>
    <sheet name="HLOOKUP with exact match" sheetId="8" r:id="rId3"/>
    <sheet name="HLOOKUP with approximate match" sheetId="3" r:id="rId4"/>
    <sheet name="XLOOKUP function" sheetId="7" r:id="rId5"/>
    <sheet name="XLOOKUP function- multiple valu" sheetId="11" r:id="rId6"/>
    <sheet name="INDEX or MATCH " sheetId="5" r:id="rId7"/>
    <sheet name="FIND  or SEARCH " sheetId="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5" l="1"/>
  <c r="B12" i="11" a="1"/>
  <c r="B12" i="11"/>
  <c r="B15" i="7"/>
  <c r="B6" i="3"/>
  <c r="B7" i="8"/>
  <c r="B12" i="2"/>
  <c r="B10" i="2"/>
  <c r="B10" i="1"/>
  <c r="A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<sst xmlns="http://schemas.openxmlformats.org/spreadsheetml/2006/main" count="186" uniqueCount="103">
  <si>
    <t>Income</t>
  </si>
  <si>
    <t>Tax Rate</t>
  </si>
  <si>
    <t>ID number</t>
  </si>
  <si>
    <t>Employee Name</t>
  </si>
  <si>
    <t>Annual Income</t>
  </si>
  <si>
    <t>Dustin Leaver</t>
  </si>
  <si>
    <t>Big Wayne</t>
  </si>
  <si>
    <t>Birianna Denty</t>
  </si>
  <si>
    <t>Kaylor Drift</t>
  </si>
  <si>
    <t>Jillie Skylish</t>
  </si>
  <si>
    <t>Look UP ID</t>
  </si>
  <si>
    <t>Room</t>
  </si>
  <si>
    <t>Course code</t>
  </si>
  <si>
    <t>AMU20</t>
  </si>
  <si>
    <t>ACT4E</t>
  </si>
  <si>
    <t>BBT10</t>
  </si>
  <si>
    <t>ADA3M</t>
  </si>
  <si>
    <t>ADA4E</t>
  </si>
  <si>
    <t>EPS30</t>
  </si>
  <si>
    <t>MUS2U</t>
  </si>
  <si>
    <t>Faculty</t>
  </si>
  <si>
    <t>Music</t>
  </si>
  <si>
    <t>Drama</t>
  </si>
  <si>
    <t>Business</t>
  </si>
  <si>
    <t>English</t>
  </si>
  <si>
    <t>Lecturer</t>
  </si>
  <si>
    <t>Smith</t>
  </si>
  <si>
    <t>Brown</t>
  </si>
  <si>
    <t>Williams</t>
  </si>
  <si>
    <t>Davis</t>
  </si>
  <si>
    <t>Lawerence</t>
  </si>
  <si>
    <t>King</t>
  </si>
  <si>
    <t>Jackson</t>
  </si>
  <si>
    <t>COURSE CODE</t>
  </si>
  <si>
    <t>LECTURER</t>
  </si>
  <si>
    <t>Pizza Toppings</t>
  </si>
  <si>
    <t>Additional Costs</t>
  </si>
  <si>
    <t>no of toppings</t>
  </si>
  <si>
    <t>Add</t>
  </si>
  <si>
    <t>Supplier</t>
  </si>
  <si>
    <t>Category</t>
  </si>
  <si>
    <t>Product Code</t>
  </si>
  <si>
    <t>Sales</t>
  </si>
  <si>
    <t>% Change</t>
  </si>
  <si>
    <t>Big City</t>
  </si>
  <si>
    <t>Components</t>
  </si>
  <si>
    <t>B5248</t>
  </si>
  <si>
    <t>$ 5,400</t>
  </si>
  <si>
    <t>Bonks</t>
  </si>
  <si>
    <t>Clothing</t>
  </si>
  <si>
    <t>S5876</t>
  </si>
  <si>
    <t>$ 3,700</t>
  </si>
  <si>
    <t>Carson &amp; Sons</t>
  </si>
  <si>
    <t>S9087</t>
  </si>
  <si>
    <t>$13,300</t>
  </si>
  <si>
    <t>Druxy</t>
  </si>
  <si>
    <t>S3258</t>
  </si>
  <si>
    <t>$ 2,300</t>
  </si>
  <si>
    <t>Golden Gate</t>
  </si>
  <si>
    <t>Bikes</t>
  </si>
  <si>
    <t>M6642</t>
  </si>
  <si>
    <t>$ 6,300</t>
  </si>
  <si>
    <t>Misty River</t>
  </si>
  <si>
    <t>B7544</t>
  </si>
  <si>
    <t>$ 4,000</t>
  </si>
  <si>
    <t>Shine</t>
  </si>
  <si>
    <t>H8763</t>
  </si>
  <si>
    <t>Sierra</t>
  </si>
  <si>
    <t>B9054</t>
  </si>
  <si>
    <t>$ 3,400</t>
  </si>
  <si>
    <t>Tango</t>
  </si>
  <si>
    <t>C2436</t>
  </si>
  <si>
    <t>$20,000</t>
  </si>
  <si>
    <t>T6579</t>
  </si>
  <si>
    <t>$36,000</t>
  </si>
  <si>
    <t>Lookup</t>
  </si>
  <si>
    <t>Employee ID</t>
  </si>
  <si>
    <t>Name</t>
  </si>
  <si>
    <t>Department</t>
  </si>
  <si>
    <t>Email Address</t>
  </si>
  <si>
    <t>Brian Edwards</t>
  </si>
  <si>
    <t>bedwards@acme.com</t>
  </si>
  <si>
    <t>Marcus Rudolph</t>
  </si>
  <si>
    <t>Accounts</t>
  </si>
  <si>
    <t>mrudolph@acme.com</t>
  </si>
  <si>
    <t>Delta Johnson</t>
  </si>
  <si>
    <t>Quality</t>
  </si>
  <si>
    <t>djohnson@acme.com</t>
  </si>
  <si>
    <t>Dawn Smith</t>
  </si>
  <si>
    <t>Marketing</t>
  </si>
  <si>
    <t>dawnsmith@acme.com</t>
  </si>
  <si>
    <t>Toni Scutti</t>
  </si>
  <si>
    <t>Human Resources</t>
  </si>
  <si>
    <t>tscutti@acme.com</t>
  </si>
  <si>
    <t>Jessica Arrow</t>
  </si>
  <si>
    <t>arrowj@acme.com</t>
  </si>
  <si>
    <t>Stephen Colt</t>
  </si>
  <si>
    <t>scolt@acme.com</t>
  </si>
  <si>
    <t>Enter ID Number</t>
  </si>
  <si>
    <t>lookup</t>
  </si>
  <si>
    <t>suppplier</t>
  </si>
  <si>
    <t>sales</t>
  </si>
  <si>
    <t>Birds of a Feather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</si>
</sst>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font>
      <sz val="11"/>
      <color theme="1"/>
      <name val="Aptos Narrow"/>
      <family val="2"/>
      <scheme val="minor"/>
    </font>
    <font>
      <b/>
      <sz val="11"/>
      <color theme="1"/>
      <name val="Aptos Narrow"/>
      <family val="2"/>
      <scheme val="minor"/>
    </font>
    <font>
      <b/>
      <sz val="12"/>
      <color rgb="FF000000"/>
      <name val="Quote-Cjk-Patch"/>
      <charset val="1"/>
    </font>
    <font>
      <sz val="12"/>
      <color rgb="FF000000"/>
      <name val="Quote-Cjk-Patch"/>
      <charset val="1"/>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2" borderId="0" xfId="0" applyFont="1" applyFill="1"/>
    <xf numFmtId="3" fontId="0" fillId="0" borderId="0" xfId="0" applyNumberFormat="1"/>
    <xf numFmtId="9" fontId="0" fillId="0" borderId="0" xfId="0" applyNumberFormat="1"/>
    <xf numFmtId="0" fontId="1" fillId="3" borderId="0" xfId="0" applyFont="1" applyFill="1"/>
    <xf numFmtId="10" fontId="0" fillId="0" borderId="0" xfId="0" applyNumberFormat="1"/>
    <xf numFmtId="164" fontId="1" fillId="0" borderId="0" xfId="0" applyNumberFormat="1" applyFont="1"/>
    <xf numFmtId="164" fontId="0" fillId="0" borderId="0" xfId="0" applyNumberFormat="1"/>
    <xf numFmtId="0" fontId="1" fillId="4" borderId="0" xfId="0" applyFont="1" applyFill="1" applyBorder="1"/>
    <xf numFmtId="0" fontId="0" fillId="4" borderId="0" xfId="0" applyFill="1"/>
    <xf numFmtId="0" fontId="3" fillId="0" borderId="0" xfId="0" applyFont="1" applyAlignment="1">
      <alignment wrapText="1"/>
    </xf>
    <xf numFmtId="0" fontId="2" fillId="4" borderId="0" xfId="0" applyFont="1" applyFill="1" applyBorder="1" applyAlignment="1">
      <alignment wrapText="1"/>
    </xf>
    <xf numFmtId="9" fontId="1" fillId="0" borderId="0" xfId="0" applyNumberFormat="1" applyFont="1"/>
    <xf numFmtId="1" fontId="3" fillId="0" borderId="0" xfId="0" applyNumberFormat="1" applyFont="1" applyAlignment="1">
      <alignment wrapText="1"/>
    </xf>
    <xf numFmtId="1" fontId="3" fillId="5" borderId="0" xfId="0" applyNumberFormat="1" applyFont="1" applyFill="1" applyAlignment="1">
      <alignment wrapText="1"/>
    </xf>
    <xf numFmtId="0" fontId="3" fillId="5"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104775</xdr:colOff>
      <xdr:row>19</xdr:row>
      <xdr:rowOff>114300</xdr:rowOff>
    </xdr:from>
    <xdr:to>
      <xdr:col>5</xdr:col>
      <xdr:colOff>371475</xdr:colOff>
      <xdr:row>28</xdr:row>
      <xdr:rowOff>104775</xdr:rowOff>
    </xdr:to>
    <xdr:sp macro="" textlink="">
      <xdr:nvSpPr>
        <xdr:cNvPr id="2" name="TextBox 1">
          <a:extLst>
            <a:ext uri="{FF2B5EF4-FFF2-40B4-BE49-F238E27FC236}">
              <a16:creationId xmlns:a16="http://schemas.microsoft.com/office/drawing/2014/main" id="{0A55DD34-B33C-3154-B72A-A7ACEE411246}"/>
            </a:ext>
          </a:extLst>
        </xdr:cNvPr>
        <xdr:cNvSpPr txBox="1"/>
      </xdr:nvSpPr>
      <xdr:spPr>
        <a:xfrm>
          <a:off x="104775" y="3733800"/>
          <a:ext cx="4029075" cy="1704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In this example, we are using the employee ID as the lookup value within the dataset D2:F6. The value we want to return will be from column 2 of the array, and we need an exact match, so the final argument is FALSE.</a:t>
          </a:r>
        </a:p>
        <a:p>
          <a:pPr marL="0" indent="0" algn="l"/>
          <a:endParaRPr lang="en-US" sz="1100">
            <a:latin typeface="+mn-lt"/>
            <a:ea typeface="+mn-lt"/>
            <a:cs typeface="+mn-lt"/>
          </a:endParaRPr>
        </a:p>
        <a:p>
          <a:pPr marL="0" indent="0" algn="l"/>
          <a:r>
            <a:rPr lang="en-US" sz="1100">
              <a:latin typeface="+mn-lt"/>
              <a:ea typeface="+mn-lt"/>
              <a:cs typeface="+mn-lt"/>
            </a:rPr>
            <a:t>The value is found in cell D2. Therefore, the return value is “Dustin Leaver”.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13</xdr:row>
      <xdr:rowOff>0</xdr:rowOff>
    </xdr:from>
    <xdr:to>
      <xdr:col>6</xdr:col>
      <xdr:colOff>361950</xdr:colOff>
      <xdr:row>23</xdr:row>
      <xdr:rowOff>85725</xdr:rowOff>
    </xdr:to>
    <xdr:sp macro="" textlink="">
      <xdr:nvSpPr>
        <xdr:cNvPr id="2" name="TextBox 1">
          <a:extLst>
            <a:ext uri="{FF2B5EF4-FFF2-40B4-BE49-F238E27FC236}">
              <a16:creationId xmlns:a16="http://schemas.microsoft.com/office/drawing/2014/main" id="{A5D2BCC5-CA0B-4056-B2FB-1FF338CE786A}"/>
            </a:ext>
          </a:extLst>
        </xdr:cNvPr>
        <xdr:cNvSpPr txBox="1"/>
      </xdr:nvSpPr>
      <xdr:spPr>
        <a:xfrm>
          <a:off x="228600" y="2476500"/>
          <a:ext cx="4381500" cy="19907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 In this example, we are using the employee’s annual income as the lookup value within the dataset A2:B6. The value we want to return will be from column 2 of the array. Since the incomes in column A are thresholds and may not be the exact amount of the employee’s annual income, we want Excel to use an approximate match if no exact match is found. Therefore, the final argument is TRUE.</a:t>
          </a:r>
        </a:p>
        <a:p>
          <a:pPr marL="0" indent="0" algn="l"/>
          <a:endParaRPr lang="en-US" sz="1100">
            <a:latin typeface="+mn-lt"/>
            <a:ea typeface="+mn-lt"/>
            <a:cs typeface="+mn-lt"/>
          </a:endParaRPr>
        </a:p>
        <a:p>
          <a:pPr marL="0" indent="0" algn="l"/>
          <a:r>
            <a:rPr lang="en-US" sz="1100">
              <a:latin typeface="+mn-lt"/>
              <a:ea typeface="+mn-lt"/>
              <a:cs typeface="+mn-lt"/>
            </a:rPr>
            <a:t>$41,000 is not found in the array, and since that value falls between $40,000 and $50,000, Excel will treat the smaller value as its approximate match. The tax rate for $41,000 is thus 8%.</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133350</xdr:colOff>
      <xdr:row>2</xdr:row>
      <xdr:rowOff>28575</xdr:rowOff>
    </xdr:from>
    <xdr:to>
      <xdr:col>13</xdr:col>
      <xdr:colOff>276225</xdr:colOff>
      <xdr:row>7</xdr:row>
      <xdr:rowOff>28575</xdr:rowOff>
    </xdr:to>
    <xdr:sp macro="" textlink="">
      <xdr:nvSpPr>
        <xdr:cNvPr id="2" name="TextBox 1">
          <a:extLst>
            <a:ext uri="{FF2B5EF4-FFF2-40B4-BE49-F238E27FC236}">
              <a16:creationId xmlns:a16="http://schemas.microsoft.com/office/drawing/2014/main" id="{3B88FA0F-ADC3-29A2-50B8-864C6B8CEA51}"/>
            </a:ext>
          </a:extLst>
        </xdr:cNvPr>
        <xdr:cNvSpPr txBox="1"/>
      </xdr:nvSpPr>
      <xdr:spPr>
        <a:xfrm>
          <a:off x="3933825" y="409575"/>
          <a:ext cx="50196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a:t>
          </a:r>
          <a:r>
            <a:rPr lang="en-US" sz="1100" b="0" i="0" u="none" strike="noStrike">
              <a:solidFill>
                <a:srgbClr val="000000"/>
              </a:solidFill>
              <a:latin typeface="Aptos Narrow" panose="020B0004020202020204" pitchFamily="34" charset="0"/>
            </a:rPr>
            <a:t>Here, the </a:t>
          </a:r>
          <a:r>
            <a:rPr lang="en-US" sz="1100">
              <a:latin typeface="+mn-lt"/>
              <a:ea typeface="+mn-lt"/>
              <a:cs typeface="+mn-lt"/>
            </a:rPr>
            <a:t>formula is searching for the value in cell B14 within the range C2:C11. If the value is found, Excel should return the value in the corresponding row from the A2:A11 range. If the exact value is not found, the message, “Product code not found” will be displayed.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723900</xdr:colOff>
      <xdr:row>1</xdr:row>
      <xdr:rowOff>276225</xdr:rowOff>
    </xdr:from>
    <xdr:to>
      <xdr:col>10</xdr:col>
      <xdr:colOff>238125</xdr:colOff>
      <xdr:row>6</xdr:row>
      <xdr:rowOff>276225</xdr:rowOff>
    </xdr:to>
    <xdr:sp macro="" textlink="">
      <xdr:nvSpPr>
        <xdr:cNvPr id="2" name="TextBox 1">
          <a:extLst>
            <a:ext uri="{FF2B5EF4-FFF2-40B4-BE49-F238E27FC236}">
              <a16:creationId xmlns:a16="http://schemas.microsoft.com/office/drawing/2014/main" id="{EC653479-BADB-4995-9EDE-F2AD32A74BA8}"/>
            </a:ext>
          </a:extLst>
        </xdr:cNvPr>
        <xdr:cNvSpPr txBox="1"/>
      </xdr:nvSpPr>
      <xdr:spPr>
        <a:xfrm>
          <a:off x="5676900" y="704850"/>
          <a:ext cx="6943725" cy="21431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In the above scenario, we want cells B12 and C12 to show the employee name and department for the ID number entered in cell A12. For that, simply include the entire range of possible results as our return array, in this case, cells B2 to C8. We enter the formula in cell B12 and there is no need to re-type the formula in cell C12, as the inclusion of the two adjacent columns (B and C) in our return array instructs Excel to “spill” the adjacent result into cell C12.</a:t>
          </a:r>
        </a:p>
        <a:p>
          <a:pPr marL="0" indent="0" algn="l"/>
          <a:endParaRPr lang="en-US" sz="1100">
            <a:latin typeface="+mn-lt"/>
            <a:ea typeface="+mn-lt"/>
            <a:cs typeface="+mn-lt"/>
          </a:endParaRPr>
        </a:p>
        <a:p>
          <a:pPr marL="0" indent="0" algn="l"/>
          <a:r>
            <a:rPr lang="en-US" sz="1100">
              <a:latin typeface="+mn-lt"/>
              <a:ea typeface="+mn-lt"/>
              <a:cs typeface="+mn-lt"/>
            </a:rPr>
            <a:t>Selecting cell B12 will show the formula we entered in the formula bar as expected.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142875</xdr:colOff>
      <xdr:row>6</xdr:row>
      <xdr:rowOff>0</xdr:rowOff>
    </xdr:to>
    <xdr:sp macro="" textlink="">
      <xdr:nvSpPr>
        <xdr:cNvPr id="2" name="TextBox 1">
          <a:extLst>
            <a:ext uri="{FF2B5EF4-FFF2-40B4-BE49-F238E27FC236}">
              <a16:creationId xmlns:a16="http://schemas.microsoft.com/office/drawing/2014/main" id="{D40E3B75-432F-4196-BEF0-63D71B17A629}"/>
            </a:ext>
          </a:extLst>
        </xdr:cNvPr>
        <xdr:cNvSpPr txBox="1"/>
      </xdr:nvSpPr>
      <xdr:spPr>
        <a:xfrm>
          <a:off x="3657600" y="190500"/>
          <a:ext cx="50196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 The result is that the inner portion of the formula (MATCH) finds that the lookup value is located in the 8th row of the array. The INDEX argument column_num 1 indicates that Excel should return the value in the first column of the array. The value is “Sierra”.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1</xdr:row>
      <xdr:rowOff>38100</xdr:rowOff>
    </xdr:from>
    <xdr:to>
      <xdr:col>10</xdr:col>
      <xdr:colOff>190500</xdr:colOff>
      <xdr:row>6</xdr:row>
      <xdr:rowOff>38100</xdr:rowOff>
    </xdr:to>
    <xdr:sp macro="" textlink="">
      <xdr:nvSpPr>
        <xdr:cNvPr id="2" name="TextBox 1">
          <a:extLst>
            <a:ext uri="{FF2B5EF4-FFF2-40B4-BE49-F238E27FC236}">
              <a16:creationId xmlns:a16="http://schemas.microsoft.com/office/drawing/2014/main" id="{6C62B40D-3638-44CD-8420-B8C3B90958B4}"/>
            </a:ext>
          </a:extLst>
        </xdr:cNvPr>
        <xdr:cNvSpPr txBox="1"/>
      </xdr:nvSpPr>
      <xdr:spPr>
        <a:xfrm>
          <a:off x="1266825" y="228600"/>
          <a:ext cx="50196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In</a:t>
          </a:r>
          <a:r>
            <a:rPr lang="en-US" sz="1100">
              <a:latin typeface="+mn-lt"/>
              <a:ea typeface="+mn-lt"/>
              <a:cs typeface="+mn-lt"/>
            </a:rPr>
            <a:t> this example, we are asking Excel to locate the text “feather” within the values in cell A1. If that text string is found, Excel will display its starting position.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B10" sqref="B10"/>
    </sheetView>
  </sheetViews>
  <sheetFormatPr defaultRowHeight="15"/>
  <cols>
    <col min="1" max="1" width="19.85546875" customWidth="1"/>
    <col min="6" max="6" width="11.7109375" customWidth="1"/>
  </cols>
  <sheetData>
    <row r="1" spans="1:10">
      <c r="A1" s="2" t="s">
        <v>0</v>
      </c>
      <c r="B1" s="2" t="s">
        <v>1</v>
      </c>
      <c r="C1" s="2"/>
      <c r="D1" s="2" t="s">
        <v>2</v>
      </c>
      <c r="E1" s="2" t="s">
        <v>3</v>
      </c>
      <c r="F1" s="2" t="s">
        <v>4</v>
      </c>
      <c r="G1" s="2"/>
      <c r="I1" s="5"/>
      <c r="J1" s="5"/>
    </row>
    <row r="2" spans="1:10">
      <c r="A2" s="3">
        <v>10000</v>
      </c>
      <c r="B2" s="4">
        <v>0.05</v>
      </c>
      <c r="D2">
        <v>1025</v>
      </c>
      <c r="E2" t="s">
        <v>5</v>
      </c>
      <c r="F2" s="3">
        <v>41000</v>
      </c>
    </row>
    <row r="3" spans="1:10">
      <c r="A3" s="3">
        <v>20000</v>
      </c>
      <c r="B3" s="4">
        <v>0.06</v>
      </c>
      <c r="D3">
        <v>2589</v>
      </c>
      <c r="E3" t="s">
        <v>6</v>
      </c>
      <c r="F3" s="3">
        <v>50000</v>
      </c>
    </row>
    <row r="4" spans="1:10">
      <c r="A4" s="3">
        <v>30000</v>
      </c>
      <c r="B4" s="4">
        <v>7.0000000000000007E-2</v>
      </c>
      <c r="D4">
        <v>3528</v>
      </c>
      <c r="E4" t="s">
        <v>7</v>
      </c>
      <c r="F4" s="3">
        <v>53690</v>
      </c>
    </row>
    <row r="5" spans="1:10">
      <c r="A5" s="3">
        <v>40000</v>
      </c>
      <c r="B5" s="4">
        <v>0.08</v>
      </c>
      <c r="D5">
        <v>4585</v>
      </c>
      <c r="E5" t="s">
        <v>8</v>
      </c>
      <c r="F5" s="3">
        <v>51200</v>
      </c>
    </row>
    <row r="6" spans="1:10">
      <c r="A6" s="3">
        <v>50000</v>
      </c>
      <c r="B6" s="4">
        <v>0.09</v>
      </c>
      <c r="D6">
        <v>4870</v>
      </c>
      <c r="E6" t="s">
        <v>9</v>
      </c>
      <c r="F6" s="3">
        <v>19500</v>
      </c>
    </row>
    <row r="9" spans="1:10">
      <c r="A9" s="1" t="s">
        <v>10</v>
      </c>
      <c r="B9">
        <v>1025</v>
      </c>
    </row>
    <row r="10" spans="1:10">
      <c r="A10" s="1" t="s">
        <v>3</v>
      </c>
      <c r="B10" t="str">
        <f>VLOOKUP(B9,D2:E6,2,FALSE)</f>
        <v>Dustin Leaver</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F5175-796D-46AE-85CC-72F56785DEB1}">
  <dimension ref="A1:H12"/>
  <sheetViews>
    <sheetView workbookViewId="0">
      <selection activeCell="B10" sqref="B10"/>
    </sheetView>
  </sheetViews>
  <sheetFormatPr defaultRowHeight="15"/>
  <cols>
    <col min="1" max="1" width="18" customWidth="1"/>
  </cols>
  <sheetData>
    <row r="1" spans="1:8" s="2" customFormat="1">
      <c r="A1" s="2" t="s">
        <v>0</v>
      </c>
      <c r="B1" s="2" t="s">
        <v>1</v>
      </c>
      <c r="D1" s="2" t="s">
        <v>2</v>
      </c>
      <c r="E1" s="2" t="s">
        <v>3</v>
      </c>
      <c r="F1" s="2" t="s">
        <v>4</v>
      </c>
    </row>
    <row r="2" spans="1:8">
      <c r="A2" s="3">
        <v>10000</v>
      </c>
      <c r="B2" s="4">
        <v>0.05</v>
      </c>
      <c r="D2">
        <v>1025</v>
      </c>
      <c r="E2" t="s">
        <v>5</v>
      </c>
      <c r="F2" s="3">
        <v>41000</v>
      </c>
      <c r="H2" s="3"/>
    </row>
    <row r="3" spans="1:8">
      <c r="A3" s="3">
        <v>20000</v>
      </c>
      <c r="B3" s="4">
        <v>0.06</v>
      </c>
      <c r="D3">
        <v>2589</v>
      </c>
      <c r="E3" t="s">
        <v>6</v>
      </c>
      <c r="F3" s="3">
        <v>50000</v>
      </c>
      <c r="H3" s="3"/>
    </row>
    <row r="4" spans="1:8">
      <c r="A4" s="3">
        <v>30000</v>
      </c>
      <c r="B4" s="4">
        <v>7.0000000000000007E-2</v>
      </c>
      <c r="D4">
        <v>3528</v>
      </c>
      <c r="E4" t="s">
        <v>7</v>
      </c>
      <c r="F4" s="3">
        <v>53690</v>
      </c>
      <c r="H4" s="3"/>
    </row>
    <row r="5" spans="1:8">
      <c r="A5" s="3">
        <v>40000</v>
      </c>
      <c r="B5" s="4">
        <v>0.08</v>
      </c>
      <c r="D5">
        <v>4585</v>
      </c>
      <c r="E5" t="s">
        <v>8</v>
      </c>
      <c r="F5" s="3">
        <v>51200</v>
      </c>
      <c r="H5" s="3"/>
    </row>
    <row r="6" spans="1:8">
      <c r="A6" s="3">
        <v>50000</v>
      </c>
      <c r="B6" s="4">
        <v>0.09</v>
      </c>
      <c r="D6">
        <v>4870</v>
      </c>
      <c r="E6" t="s">
        <v>9</v>
      </c>
      <c r="F6" s="3">
        <v>19500</v>
      </c>
      <c r="H6" s="3"/>
    </row>
    <row r="9" spans="1:8">
      <c r="A9" s="1" t="s">
        <v>10</v>
      </c>
      <c r="B9">
        <v>1025</v>
      </c>
    </row>
    <row r="10" spans="1:8">
      <c r="A10" s="1" t="s">
        <v>3</v>
      </c>
      <c r="B10" t="str">
        <f>VLOOKUP(B9,D2:E6,2,FALSE)</f>
        <v>Dustin Leaver</v>
      </c>
    </row>
    <row r="11" spans="1:8">
      <c r="A11" s="1" t="s">
        <v>4</v>
      </c>
      <c r="B11" s="3">
        <v>41000</v>
      </c>
    </row>
    <row r="12" spans="1:8">
      <c r="A12" s="1" t="s">
        <v>1</v>
      </c>
      <c r="B12" s="6">
        <f>VLOOKUP(B11,A2:B6,2,TRUE)</f>
        <v>0.08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4E5C-EF29-4CC6-B79A-828448569555}">
  <dimension ref="A1:H7"/>
  <sheetViews>
    <sheetView workbookViewId="0">
      <selection activeCell="B7" sqref="B7"/>
    </sheetView>
  </sheetViews>
  <sheetFormatPr defaultRowHeight="15"/>
  <cols>
    <col min="1" max="1" width="16.85546875" customWidth="1"/>
  </cols>
  <sheetData>
    <row r="1" spans="1:8">
      <c r="A1" s="1" t="s">
        <v>11</v>
      </c>
      <c r="B1">
        <v>107</v>
      </c>
      <c r="C1">
        <v>119</v>
      </c>
      <c r="D1">
        <v>208</v>
      </c>
      <c r="E1">
        <v>221</v>
      </c>
      <c r="F1">
        <v>339</v>
      </c>
      <c r="G1">
        <v>440</v>
      </c>
      <c r="H1">
        <v>442</v>
      </c>
    </row>
    <row r="2" spans="1:8">
      <c r="A2" s="1" t="s">
        <v>12</v>
      </c>
      <c r="B2" t="s">
        <v>13</v>
      </c>
      <c r="C2" t="s">
        <v>14</v>
      </c>
      <c r="D2" t="s">
        <v>15</v>
      </c>
      <c r="E2" t="s">
        <v>16</v>
      </c>
      <c r="F2" t="s">
        <v>17</v>
      </c>
      <c r="G2" t="s">
        <v>18</v>
      </c>
      <c r="H2" t="s">
        <v>19</v>
      </c>
    </row>
    <row r="3" spans="1:8">
      <c r="A3" s="1" t="s">
        <v>20</v>
      </c>
      <c r="B3" t="s">
        <v>21</v>
      </c>
      <c r="C3" t="s">
        <v>22</v>
      </c>
      <c r="D3" t="s">
        <v>23</v>
      </c>
      <c r="E3" t="s">
        <v>22</v>
      </c>
      <c r="F3" t="s">
        <v>22</v>
      </c>
      <c r="G3" t="s">
        <v>24</v>
      </c>
      <c r="H3" t="s">
        <v>21</v>
      </c>
    </row>
    <row r="4" spans="1:8">
      <c r="A4" s="1" t="s">
        <v>25</v>
      </c>
      <c r="B4" t="s">
        <v>26</v>
      </c>
      <c r="C4" t="s">
        <v>27</v>
      </c>
      <c r="D4" t="s">
        <v>28</v>
      </c>
      <c r="E4" t="s">
        <v>29</v>
      </c>
      <c r="F4" t="s">
        <v>30</v>
      </c>
      <c r="G4" t="s">
        <v>31</v>
      </c>
      <c r="H4" t="s">
        <v>32</v>
      </c>
    </row>
    <row r="6" spans="1:8">
      <c r="A6" s="1" t="s">
        <v>33</v>
      </c>
      <c r="B6" t="s">
        <v>16</v>
      </c>
    </row>
    <row r="7" spans="1:8">
      <c r="A7" s="1" t="s">
        <v>34</v>
      </c>
      <c r="B7" t="str">
        <f>HLOOKUP(B6,B2:H4,3,FALSE)</f>
        <v>Davis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39C0-A3A0-4C5A-9B0E-D9F6866B1093}">
  <dimension ref="A1:G6"/>
  <sheetViews>
    <sheetView workbookViewId="0">
      <selection activeCell="B6" sqref="B6"/>
    </sheetView>
  </sheetViews>
  <sheetFormatPr defaultRowHeight="15"/>
  <cols>
    <col min="1" max="1" width="17.5703125" customWidth="1"/>
  </cols>
  <sheetData>
    <row r="1" spans="1:7">
      <c r="A1" s="1" t="s">
        <v>35</v>
      </c>
      <c r="B1">
        <v>1</v>
      </c>
      <c r="C1">
        <v>2</v>
      </c>
      <c r="D1">
        <v>4</v>
      </c>
      <c r="E1">
        <v>6</v>
      </c>
      <c r="F1">
        <v>8</v>
      </c>
      <c r="G1">
        <v>10</v>
      </c>
    </row>
    <row r="2" spans="1:7" s="8" customFormat="1">
      <c r="A2" s="7" t="s">
        <v>36</v>
      </c>
      <c r="B2" s="8">
        <v>1</v>
      </c>
      <c r="C2" s="8">
        <v>1.5</v>
      </c>
      <c r="D2" s="8">
        <v>2.75</v>
      </c>
      <c r="E2" s="8">
        <v>3.75</v>
      </c>
      <c r="F2" s="8">
        <v>4.75</v>
      </c>
      <c r="G2" s="8">
        <v>6</v>
      </c>
    </row>
    <row r="5" spans="1:7">
      <c r="A5" s="1" t="s">
        <v>37</v>
      </c>
      <c r="B5">
        <v>1</v>
      </c>
    </row>
    <row r="6" spans="1:7">
      <c r="A6" s="1" t="s">
        <v>38</v>
      </c>
      <c r="B6">
        <f>HLOOKUP(B5,B1:G2,2,TRUE)</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E052-6042-45E8-BB47-922BCD96D420}">
  <dimension ref="A1:E16"/>
  <sheetViews>
    <sheetView workbookViewId="0">
      <selection activeCell="B15" sqref="B15"/>
    </sheetView>
  </sheetViews>
  <sheetFormatPr defaultRowHeight="15"/>
  <cols>
    <col min="1" max="1" width="13.28515625" bestFit="1" customWidth="1"/>
    <col min="2" max="2" width="12" bestFit="1" customWidth="1"/>
    <col min="3" max="3" width="13" bestFit="1" customWidth="1"/>
    <col min="5" max="5" width="9.5703125" bestFit="1" customWidth="1"/>
  </cols>
  <sheetData>
    <row r="1" spans="1:5" s="10" customFormat="1">
      <c r="A1" s="9" t="s">
        <v>39</v>
      </c>
      <c r="B1" s="9" t="s">
        <v>40</v>
      </c>
      <c r="C1" s="9" t="s">
        <v>41</v>
      </c>
      <c r="D1" s="9" t="s">
        <v>42</v>
      </c>
      <c r="E1" s="9" t="s">
        <v>43</v>
      </c>
    </row>
    <row r="2" spans="1:5">
      <c r="A2" t="s">
        <v>44</v>
      </c>
      <c r="B2" t="s">
        <v>45</v>
      </c>
      <c r="C2" t="s">
        <v>46</v>
      </c>
      <c r="D2" t="s">
        <v>47</v>
      </c>
      <c r="E2" s="4">
        <v>-0.08</v>
      </c>
    </row>
    <row r="3" spans="1:5">
      <c r="A3" t="s">
        <v>48</v>
      </c>
      <c r="B3" t="s">
        <v>49</v>
      </c>
      <c r="C3" t="s">
        <v>50</v>
      </c>
      <c r="D3" t="s">
        <v>51</v>
      </c>
      <c r="E3" s="4">
        <v>0.02</v>
      </c>
    </row>
    <row r="4" spans="1:5">
      <c r="A4" t="s">
        <v>52</v>
      </c>
      <c r="B4" t="s">
        <v>49</v>
      </c>
      <c r="C4" t="s">
        <v>53</v>
      </c>
      <c r="D4" t="s">
        <v>54</v>
      </c>
      <c r="E4" s="4">
        <v>0.03</v>
      </c>
    </row>
    <row r="5" spans="1:5">
      <c r="A5" t="s">
        <v>55</v>
      </c>
      <c r="B5" t="s">
        <v>49</v>
      </c>
      <c r="C5" t="s">
        <v>56</v>
      </c>
      <c r="D5" t="s">
        <v>57</v>
      </c>
      <c r="E5" s="4">
        <v>0</v>
      </c>
    </row>
    <row r="6" spans="1:5">
      <c r="A6" t="s">
        <v>58</v>
      </c>
      <c r="B6" t="s">
        <v>59</v>
      </c>
      <c r="C6" t="s">
        <v>60</v>
      </c>
      <c r="D6" t="s">
        <v>61</v>
      </c>
      <c r="E6" s="4">
        <v>-0.01</v>
      </c>
    </row>
    <row r="7" spans="1:5">
      <c r="A7" t="s">
        <v>62</v>
      </c>
      <c r="B7" t="s">
        <v>49</v>
      </c>
      <c r="C7" t="s">
        <v>63</v>
      </c>
      <c r="D7" t="s">
        <v>64</v>
      </c>
      <c r="E7" s="4">
        <v>0.02</v>
      </c>
    </row>
    <row r="8" spans="1:5">
      <c r="A8" t="s">
        <v>65</v>
      </c>
      <c r="B8" t="s">
        <v>45</v>
      </c>
      <c r="C8" t="s">
        <v>66</v>
      </c>
      <c r="D8" t="s">
        <v>57</v>
      </c>
      <c r="E8" s="4">
        <v>0.05</v>
      </c>
    </row>
    <row r="9" spans="1:5">
      <c r="A9" t="s">
        <v>67</v>
      </c>
      <c r="B9" t="s">
        <v>45</v>
      </c>
      <c r="C9" t="s">
        <v>68</v>
      </c>
      <c r="D9" t="s">
        <v>69</v>
      </c>
      <c r="E9" s="4">
        <v>-0.02</v>
      </c>
    </row>
    <row r="10" spans="1:5">
      <c r="A10" t="s">
        <v>70</v>
      </c>
      <c r="B10" t="s">
        <v>45</v>
      </c>
      <c r="C10" t="s">
        <v>71</v>
      </c>
      <c r="D10" t="s">
        <v>72</v>
      </c>
      <c r="E10" s="4">
        <v>0</v>
      </c>
    </row>
    <row r="11" spans="1:5">
      <c r="A11" t="s">
        <v>70</v>
      </c>
      <c r="B11" t="s">
        <v>49</v>
      </c>
      <c r="C11" t="s">
        <v>73</v>
      </c>
      <c r="D11" t="s">
        <v>74</v>
      </c>
      <c r="E11" s="4">
        <v>0.04</v>
      </c>
    </row>
    <row r="14" spans="1:5">
      <c r="A14" t="s">
        <v>75</v>
      </c>
      <c r="B14" t="s">
        <v>68</v>
      </c>
    </row>
    <row r="15" spans="1:5">
      <c r="A15" t="s">
        <v>39</v>
      </c>
      <c r="B15" t="str">
        <f>_xlfn.XLOOKUP(B14,C2:C11,A2:A11,"Product code not found",0)</f>
        <v>Sierra</v>
      </c>
    </row>
    <row r="16" spans="1:5">
      <c r="A16" t="s">
        <v>42</v>
      </c>
      <c r="B16">
        <v>3400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86FF-CFA9-4935-AB2D-F2A00F76999C}">
  <dimension ref="A1:E12"/>
  <sheetViews>
    <sheetView workbookViewId="0">
      <selection activeCell="B12" sqref="B12"/>
    </sheetView>
  </sheetViews>
  <sheetFormatPr defaultColWidth="18.5703125" defaultRowHeight="33.75" customHeight="1"/>
  <sheetData>
    <row r="1" spans="1:5" s="10" customFormat="1" ht="33.75" customHeight="1">
      <c r="A1" s="12" t="s">
        <v>76</v>
      </c>
      <c r="B1" s="12" t="s">
        <v>77</v>
      </c>
      <c r="C1" s="12" t="s">
        <v>78</v>
      </c>
      <c r="D1" s="12" t="s">
        <v>79</v>
      </c>
      <c r="E1" s="9"/>
    </row>
    <row r="2" spans="1:5" ht="33.75" customHeight="1">
      <c r="A2" s="14">
        <v>100256</v>
      </c>
      <c r="B2" s="11" t="s">
        <v>80</v>
      </c>
      <c r="C2" s="11" t="s">
        <v>42</v>
      </c>
      <c r="D2" s="11" t="s">
        <v>81</v>
      </c>
      <c r="E2" s="4"/>
    </row>
    <row r="3" spans="1:5" ht="33.75" customHeight="1">
      <c r="A3" s="14">
        <v>100042</v>
      </c>
      <c r="B3" s="11" t="s">
        <v>82</v>
      </c>
      <c r="C3" s="11" t="s">
        <v>83</v>
      </c>
      <c r="D3" s="11" t="s">
        <v>84</v>
      </c>
      <c r="E3" s="4"/>
    </row>
    <row r="4" spans="1:5" ht="33.75" customHeight="1">
      <c r="A4" s="15">
        <v>99563</v>
      </c>
      <c r="B4" s="16" t="s">
        <v>85</v>
      </c>
      <c r="C4" s="16" t="s">
        <v>86</v>
      </c>
      <c r="D4" s="11" t="s">
        <v>87</v>
      </c>
      <c r="E4" s="4"/>
    </row>
    <row r="5" spans="1:5" ht="33.75" customHeight="1">
      <c r="A5" s="14">
        <v>98563</v>
      </c>
      <c r="B5" s="11" t="s">
        <v>88</v>
      </c>
      <c r="C5" s="11" t="s">
        <v>89</v>
      </c>
      <c r="D5" s="11" t="s">
        <v>90</v>
      </c>
      <c r="E5" s="4"/>
    </row>
    <row r="6" spans="1:5" ht="33.75" customHeight="1">
      <c r="A6" s="14">
        <v>85423</v>
      </c>
      <c r="B6" s="11" t="s">
        <v>91</v>
      </c>
      <c r="C6" s="11" t="s">
        <v>92</v>
      </c>
      <c r="D6" s="11" t="s">
        <v>93</v>
      </c>
      <c r="E6" s="4"/>
    </row>
    <row r="7" spans="1:5" ht="33.75" customHeight="1">
      <c r="A7" s="14">
        <v>113652</v>
      </c>
      <c r="B7" s="11" t="s">
        <v>94</v>
      </c>
      <c r="C7" s="11" t="s">
        <v>42</v>
      </c>
      <c r="D7" s="11" t="s">
        <v>95</v>
      </c>
      <c r="E7" s="4"/>
    </row>
    <row r="8" spans="1:5" ht="33.75" customHeight="1">
      <c r="A8" s="14">
        <v>102256</v>
      </c>
      <c r="B8" s="11" t="s">
        <v>96</v>
      </c>
      <c r="C8" s="11" t="s">
        <v>42</v>
      </c>
      <c r="D8" s="11" t="s">
        <v>97</v>
      </c>
      <c r="E8" s="4"/>
    </row>
    <row r="9" spans="1:5" ht="33.75" customHeight="1">
      <c r="E9" s="4"/>
    </row>
    <row r="10" spans="1:5" s="1" customFormat="1" ht="33.75" customHeight="1">
      <c r="E10" s="13"/>
    </row>
    <row r="11" spans="1:5" ht="33.75" customHeight="1">
      <c r="A11" s="1" t="s">
        <v>98</v>
      </c>
      <c r="B11" s="1" t="s">
        <v>3</v>
      </c>
      <c r="C11" s="1" t="s">
        <v>78</v>
      </c>
      <c r="E11" s="4"/>
    </row>
    <row r="12" spans="1:5" ht="33.75" customHeight="1">
      <c r="A12" s="14">
        <v>99563</v>
      </c>
      <c r="B12" t="str" cm="1">
        <f t="array" ref="B12:C12">_xlfn.XLOOKUP(A12,A2:A8,B2:C8," Name not found",2)</f>
        <v>Delta Johnson</v>
      </c>
      <c r="C12" t="str">
        <v>Quality</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48DB-DD21-40C4-8E8D-C63874292A0B}">
  <dimension ref="A1:E16"/>
  <sheetViews>
    <sheetView workbookViewId="0">
      <selection activeCell="B15" sqref="B15"/>
    </sheetView>
  </sheetViews>
  <sheetFormatPr defaultRowHeight="15"/>
  <sheetData>
    <row r="1" spans="1:5">
      <c r="A1" s="9" t="s">
        <v>39</v>
      </c>
      <c r="B1" s="9" t="s">
        <v>40</v>
      </c>
      <c r="C1" s="9" t="s">
        <v>41</v>
      </c>
      <c r="D1" s="9" t="s">
        <v>42</v>
      </c>
      <c r="E1" s="9" t="s">
        <v>43</v>
      </c>
    </row>
    <row r="2" spans="1:5">
      <c r="A2" t="s">
        <v>44</v>
      </c>
      <c r="B2" t="s">
        <v>45</v>
      </c>
      <c r="C2" t="s">
        <v>46</v>
      </c>
      <c r="D2" t="s">
        <v>47</v>
      </c>
      <c r="E2" s="4">
        <v>-0.08</v>
      </c>
    </row>
    <row r="3" spans="1:5">
      <c r="A3" t="s">
        <v>48</v>
      </c>
      <c r="B3" t="s">
        <v>49</v>
      </c>
      <c r="C3" t="s">
        <v>50</v>
      </c>
      <c r="D3" t="s">
        <v>51</v>
      </c>
      <c r="E3" s="4">
        <v>0.02</v>
      </c>
    </row>
    <row r="4" spans="1:5">
      <c r="A4" t="s">
        <v>52</v>
      </c>
      <c r="B4" t="s">
        <v>49</v>
      </c>
      <c r="C4" t="s">
        <v>53</v>
      </c>
      <c r="D4" t="s">
        <v>54</v>
      </c>
      <c r="E4" s="4">
        <v>0.03</v>
      </c>
    </row>
    <row r="5" spans="1:5">
      <c r="A5" t="s">
        <v>55</v>
      </c>
      <c r="B5" t="s">
        <v>49</v>
      </c>
      <c r="C5" t="s">
        <v>56</v>
      </c>
      <c r="D5" t="s">
        <v>57</v>
      </c>
      <c r="E5" s="4">
        <v>0</v>
      </c>
    </row>
    <row r="6" spans="1:5">
      <c r="A6" t="s">
        <v>58</v>
      </c>
      <c r="B6" t="s">
        <v>59</v>
      </c>
      <c r="C6" t="s">
        <v>60</v>
      </c>
      <c r="D6" t="s">
        <v>61</v>
      </c>
      <c r="E6" s="4">
        <v>-0.01</v>
      </c>
    </row>
    <row r="7" spans="1:5">
      <c r="A7" t="s">
        <v>62</v>
      </c>
      <c r="B7" t="s">
        <v>49</v>
      </c>
      <c r="C7" t="s">
        <v>63</v>
      </c>
      <c r="D7" t="s">
        <v>64</v>
      </c>
      <c r="E7" s="4">
        <v>0.02</v>
      </c>
    </row>
    <row r="8" spans="1:5">
      <c r="A8" t="s">
        <v>65</v>
      </c>
      <c r="B8" t="s">
        <v>45</v>
      </c>
      <c r="C8" t="s">
        <v>66</v>
      </c>
      <c r="D8" t="s">
        <v>57</v>
      </c>
      <c r="E8" s="4">
        <v>0.05</v>
      </c>
    </row>
    <row r="9" spans="1:5">
      <c r="A9" t="s">
        <v>67</v>
      </c>
      <c r="B9" t="s">
        <v>45</v>
      </c>
      <c r="C9" t="s">
        <v>68</v>
      </c>
      <c r="D9" t="s">
        <v>69</v>
      </c>
      <c r="E9" s="4">
        <v>-0.02</v>
      </c>
    </row>
    <row r="10" spans="1:5">
      <c r="A10" t="s">
        <v>70</v>
      </c>
      <c r="B10" t="s">
        <v>45</v>
      </c>
      <c r="C10" t="s">
        <v>71</v>
      </c>
      <c r="D10" t="s">
        <v>72</v>
      </c>
      <c r="E10" s="4">
        <v>0</v>
      </c>
    </row>
    <row r="11" spans="1:5">
      <c r="A11" t="s">
        <v>70</v>
      </c>
      <c r="B11" t="s">
        <v>49</v>
      </c>
      <c r="C11" t="s">
        <v>73</v>
      </c>
      <c r="D11" t="s">
        <v>74</v>
      </c>
      <c r="E11" s="4">
        <v>0.04</v>
      </c>
    </row>
    <row r="14" spans="1:5">
      <c r="A14" s="1" t="s">
        <v>99</v>
      </c>
      <c r="B14" t="s">
        <v>68</v>
      </c>
    </row>
    <row r="15" spans="1:5">
      <c r="A15" s="1" t="s">
        <v>100</v>
      </c>
      <c r="B15" t="str">
        <f>INDEX(A2:E11,MATCH(B14,C2:C11,0),1)</f>
        <v>Sierra</v>
      </c>
    </row>
    <row r="16" spans="1:5">
      <c r="A16" s="1" t="s">
        <v>101</v>
      </c>
      <c r="B16" t="s">
        <v>69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57A8-05D9-4DF4-8951-0DE227AEFB30}">
  <dimension ref="A1:A4"/>
  <sheetViews>
    <sheetView tabSelected="1" workbookViewId="0">
      <selection activeCell="Q7" sqref="Q7"/>
    </sheetView>
  </sheetViews>
  <sheetFormatPr defaultRowHeight="15"/>
  <sheetData>
    <row r="1" spans="1:1">
      <c r="A1" t="s">
        <v>102</v>
      </c>
    </row>
    <row r="4" spans="1:1">
      <c r="A4">
        <f>SEARCH("feather", A1)</f>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2025-12-16T11:08:49Z</dcterms:created>
  <dcterms:modified xsi:type="dcterms:W3CDTF">2025-12-16T12:27:57Z</dcterms:modified>
  <cp:category/>
  <cp:contentStatus/>
</cp:coreProperties>
</file>