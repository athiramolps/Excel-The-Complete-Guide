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7"/>
  <workbookPr/>
  <xr:revisionPtr revIDLastSave="0" documentId="8_{DF3D8C4D-0F23-4211-A542-1E2889CE8972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Section 1 The Basics - Extract" sheetId="1" r:id="rId1"/>
    <sheet name="Section 2 The Transformers - C" sheetId="3" r:id="rId2"/>
    <sheet name="Section 3 The Combiners - Conc" sheetId="4" r:id="rId3"/>
    <sheet name="Section 4 The Finders &amp; Replac" sheetId="5" r:id="rId4"/>
    <sheet name="Section 5 The Data Wranglers -" sheetId="2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2" l="1"/>
  <c r="J3" i="2"/>
  <c r="J4" i="2"/>
  <c r="J5" i="2"/>
  <c r="J6" i="2"/>
  <c r="J7" i="2"/>
  <c r="J8" i="2"/>
  <c r="J9" i="2"/>
  <c r="J10" i="2"/>
  <c r="J11" i="2"/>
  <c r="J12" i="2"/>
  <c r="J13" i="2"/>
  <c r="J14" i="2"/>
  <c r="J15" i="2"/>
  <c r="J2" i="2"/>
  <c r="J10" i="5"/>
  <c r="J6" i="5"/>
  <c r="J3" i="5"/>
  <c r="J13" i="4"/>
  <c r="J10" i="4"/>
  <c r="J16" i="4"/>
  <c r="J7" i="4"/>
  <c r="J4" i="4"/>
  <c r="J12" i="3"/>
  <c r="J10" i="3"/>
  <c r="J7" i="3"/>
  <c r="J4" i="3"/>
  <c r="J2" i="3"/>
  <c r="J11" i="1"/>
  <c r="J8" i="1"/>
  <c r="J5" i="1"/>
  <c r="J2" i="1"/>
</calcChain>
</file>

<file path=xl/sharedStrings.xml><?xml version="1.0" encoding="utf-8"?>
<sst xmlns="http://schemas.openxmlformats.org/spreadsheetml/2006/main" count="339" uniqueCount="54">
  <si>
    <t>ID</t>
  </si>
  <si>
    <t>Name</t>
  </si>
  <si>
    <t>Department</t>
  </si>
  <si>
    <t>Salary</t>
  </si>
  <si>
    <t>Join Date</t>
  </si>
  <si>
    <t>Rating</t>
  </si>
  <si>
    <t>Feedback</t>
  </si>
  <si>
    <t>Region</t>
  </si>
  <si>
    <t>Get the first 3 chars of a name Alice</t>
  </si>
  <si>
    <t>Alice</t>
  </si>
  <si>
    <t>Sales</t>
  </si>
  <si>
    <t>Good</t>
  </si>
  <si>
    <t>UK</t>
  </si>
  <si>
    <t>Bob</t>
  </si>
  <si>
    <t>Marketing</t>
  </si>
  <si>
    <t>Average</t>
  </si>
  <si>
    <t>US</t>
  </si>
  <si>
    <t>Charlie</t>
  </si>
  <si>
    <t>HR</t>
  </si>
  <si>
    <t>Excellent</t>
  </si>
  <si>
    <t>Get the last 2 chars of name Alice</t>
  </si>
  <si>
    <t>Diana</t>
  </si>
  <si>
    <t>IT</t>
  </si>
  <si>
    <t>Poor</t>
  </si>
  <si>
    <t>IN</t>
  </si>
  <si>
    <t>Ethan</t>
  </si>
  <si>
    <t>Fiona</t>
  </si>
  <si>
    <t>Get chars from the middle of Name</t>
  </si>
  <si>
    <t>George</t>
  </si>
  <si>
    <t>Hannah</t>
  </si>
  <si>
    <t>Ian</t>
  </si>
  <si>
    <t>Count characters in the name Alice</t>
  </si>
  <si>
    <t>Jane</t>
  </si>
  <si>
    <t>Kevin</t>
  </si>
  <si>
    <t>Laura</t>
  </si>
  <si>
    <t>Michael</t>
  </si>
  <si>
    <t>Nina</t>
  </si>
  <si>
    <t>Convert Name to UPPERCASE</t>
  </si>
  <si>
    <t>Convert Department to lowercase</t>
  </si>
  <si>
    <t>ETHAN</t>
  </si>
  <si>
    <t>Convert Name to Proper Case</t>
  </si>
  <si>
    <t xml:space="preserve">Remove extra spaces	</t>
  </si>
  <si>
    <t>Remove non-printable chars</t>
  </si>
  <si>
    <t>Michael               Lopez</t>
  </si>
  <si>
    <t>Join Name &amp; Dept with a dash</t>
  </si>
  <si>
    <t>Join Name &amp; Dept with a space</t>
  </si>
  <si>
    <t>Join Name &amp; Dept with a comma</t>
  </si>
  <si>
    <t>Join Name &amp; Dept with a space and comma</t>
  </si>
  <si>
    <t>Join Name &amp; Dept (modern)</t>
  </si>
  <si>
    <t>Find position of "a" in Name Charlie</t>
  </si>
  <si>
    <t>Replace "Good" with "Great"</t>
  </si>
  <si>
    <t>Replace chars at a position UK</t>
  </si>
  <si>
    <t>Create Email Address</t>
  </si>
  <si>
    <t>Standardize Date Format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</si>
</sst>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Quote-Cjk-Patch"/>
      <charset val="1"/>
    </font>
    <font>
      <b/>
      <sz val="11"/>
      <color theme="1"/>
      <name val="Quote-Cjk-Patch"/>
      <charset val="1"/>
    </font>
    <font>
      <sz val="11"/>
      <color theme="1"/>
      <name val="Quote-Cjk-Patch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2" fillId="0" borderId="0" xfId="0" applyNumberFormat="1" applyFont="1" applyAlignment="1">
      <alignment wrapText="1"/>
    </xf>
    <xf numFmtId="0" fontId="3" fillId="0" borderId="0" xfId="0" applyFont="1"/>
    <xf numFmtId="0" fontId="4" fillId="0" borderId="0" xfId="0" applyFont="1" applyAlignment="1">
      <alignment wrapText="1"/>
    </xf>
    <xf numFmtId="0" fontId="5" fillId="0" borderId="0" xfId="0" applyFont="1"/>
    <xf numFmtId="0" fontId="0" fillId="0" borderId="0" xfId="0" applyFont="1"/>
    <xf numFmtId="0" fontId="5" fillId="0" borderId="0" xfId="0" applyFont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"/>
  <sheetViews>
    <sheetView topLeftCell="E1" workbookViewId="0">
      <selection activeCell="I26" sqref="I26"/>
    </sheetView>
  </sheetViews>
  <sheetFormatPr defaultRowHeight="15"/>
  <cols>
    <col min="5" max="5" width="20.7109375" customWidth="1"/>
    <col min="10" max="10" width="45.7109375" customWidth="1"/>
    <col min="11" max="11" width="26.5703125" bestFit="1" customWidth="1"/>
    <col min="12" max="12" width="18" bestFit="1" customWidth="1"/>
  </cols>
  <sheetData>
    <row r="1" spans="1:13" ht="2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4" t="s">
        <v>8</v>
      </c>
      <c r="K1" s="4"/>
      <c r="L1" s="4"/>
      <c r="M1" s="4"/>
    </row>
    <row r="2" spans="1:13">
      <c r="A2" s="2">
        <v>1</v>
      </c>
      <c r="B2" s="2" t="s">
        <v>9</v>
      </c>
      <c r="C2" s="2" t="s">
        <v>10</v>
      </c>
      <c r="D2" s="2">
        <v>5000</v>
      </c>
      <c r="E2" s="3">
        <v>45306</v>
      </c>
      <c r="F2" s="2">
        <v>4</v>
      </c>
      <c r="G2" s="2" t="s">
        <v>11</v>
      </c>
      <c r="H2" s="2" t="s">
        <v>12</v>
      </c>
      <c r="J2" t="str">
        <f>LEFT(B2, 3)</f>
        <v>Ali</v>
      </c>
    </row>
    <row r="3" spans="1:13">
      <c r="A3" s="2">
        <v>2</v>
      </c>
      <c r="B3" s="2" t="s">
        <v>13</v>
      </c>
      <c r="C3" s="2" t="s">
        <v>14</v>
      </c>
      <c r="D3" s="2">
        <v>4500</v>
      </c>
      <c r="E3" s="3">
        <v>45056</v>
      </c>
      <c r="F3" s="2">
        <v>3</v>
      </c>
      <c r="G3" s="2" t="s">
        <v>15</v>
      </c>
      <c r="H3" s="2" t="s">
        <v>16</v>
      </c>
    </row>
    <row r="4" spans="1:13" ht="17.25">
      <c r="A4" s="2">
        <v>3</v>
      </c>
      <c r="B4" s="2" t="s">
        <v>17</v>
      </c>
      <c r="C4" s="2" t="s">
        <v>18</v>
      </c>
      <c r="D4" s="2">
        <v>4700</v>
      </c>
      <c r="E4" s="3">
        <v>44805</v>
      </c>
      <c r="F4" s="2">
        <v>5</v>
      </c>
      <c r="G4" s="2" t="s">
        <v>19</v>
      </c>
      <c r="H4" s="2" t="s">
        <v>12</v>
      </c>
      <c r="J4" s="5" t="s">
        <v>20</v>
      </c>
    </row>
    <row r="5" spans="1:13">
      <c r="A5" s="2">
        <v>4</v>
      </c>
      <c r="B5" s="2" t="s">
        <v>21</v>
      </c>
      <c r="C5" s="2" t="s">
        <v>22</v>
      </c>
      <c r="D5" s="2">
        <v>5200</v>
      </c>
      <c r="E5" s="3">
        <v>45371</v>
      </c>
      <c r="F5" s="2">
        <v>2</v>
      </c>
      <c r="G5" s="2" t="s">
        <v>23</v>
      </c>
      <c r="H5" s="2" t="s">
        <v>24</v>
      </c>
      <c r="J5" t="str">
        <f>RIGHT(B2,2)</f>
        <v>ce</v>
      </c>
    </row>
    <row r="6" spans="1:13">
      <c r="A6" s="2">
        <v>5</v>
      </c>
      <c r="B6" s="2" t="s">
        <v>25</v>
      </c>
      <c r="C6" s="2" t="s">
        <v>10</v>
      </c>
      <c r="D6" s="2">
        <v>4800</v>
      </c>
      <c r="E6" s="3">
        <v>45265</v>
      </c>
      <c r="F6" s="2">
        <v>4</v>
      </c>
      <c r="G6" s="2" t="s">
        <v>11</v>
      </c>
      <c r="H6" s="2" t="s">
        <v>16</v>
      </c>
    </row>
    <row r="7" spans="1:13" ht="17.25">
      <c r="A7" s="2">
        <v>6</v>
      </c>
      <c r="B7" s="2" t="s">
        <v>26</v>
      </c>
      <c r="C7" s="2" t="s">
        <v>14</v>
      </c>
      <c r="D7" s="2">
        <v>5100</v>
      </c>
      <c r="E7" s="3">
        <v>45333</v>
      </c>
      <c r="F7" s="2">
        <v>5</v>
      </c>
      <c r="G7" s="2" t="s">
        <v>19</v>
      </c>
      <c r="H7" s="2" t="s">
        <v>12</v>
      </c>
      <c r="J7" s="5" t="s">
        <v>27</v>
      </c>
    </row>
    <row r="8" spans="1:13">
      <c r="A8" s="2">
        <v>7</v>
      </c>
      <c r="B8" s="2" t="s">
        <v>28</v>
      </c>
      <c r="C8" s="2" t="s">
        <v>18</v>
      </c>
      <c r="D8" s="2">
        <v>4300</v>
      </c>
      <c r="E8" s="3">
        <v>45126</v>
      </c>
      <c r="F8" s="2">
        <v>3</v>
      </c>
      <c r="G8" s="2" t="s">
        <v>15</v>
      </c>
      <c r="H8" s="2" t="s">
        <v>24</v>
      </c>
      <c r="J8" t="str">
        <f>MID(B2,2,3)</f>
        <v>lic</v>
      </c>
    </row>
    <row r="9" spans="1:13">
      <c r="A9" s="2">
        <v>8</v>
      </c>
      <c r="B9" s="2" t="s">
        <v>29</v>
      </c>
      <c r="C9" s="2" t="s">
        <v>22</v>
      </c>
      <c r="D9" s="2">
        <v>5000</v>
      </c>
      <c r="E9" s="3">
        <v>44888</v>
      </c>
      <c r="F9" s="2">
        <v>4</v>
      </c>
      <c r="G9" s="2" t="s">
        <v>11</v>
      </c>
      <c r="H9" s="2" t="s">
        <v>16</v>
      </c>
    </row>
    <row r="10" spans="1:13">
      <c r="A10" s="2">
        <v>9</v>
      </c>
      <c r="B10" s="2" t="s">
        <v>30</v>
      </c>
      <c r="C10" s="2" t="s">
        <v>10</v>
      </c>
      <c r="D10" s="2">
        <v>4700</v>
      </c>
      <c r="E10" s="3">
        <v>45107</v>
      </c>
      <c r="F10" s="2">
        <v>2</v>
      </c>
      <c r="G10" s="2" t="s">
        <v>23</v>
      </c>
      <c r="H10" s="2" t="s">
        <v>12</v>
      </c>
      <c r="J10" s="6" t="s">
        <v>31</v>
      </c>
    </row>
    <row r="11" spans="1:13">
      <c r="A11" s="2">
        <v>10</v>
      </c>
      <c r="B11" s="2" t="s">
        <v>32</v>
      </c>
      <c r="C11" s="2" t="s">
        <v>14</v>
      </c>
      <c r="D11" s="2">
        <v>4900</v>
      </c>
      <c r="E11" s="3">
        <v>45293</v>
      </c>
      <c r="F11" s="2">
        <v>5</v>
      </c>
      <c r="G11" s="2" t="s">
        <v>19</v>
      </c>
      <c r="H11" s="2" t="s">
        <v>24</v>
      </c>
      <c r="J11">
        <f>LEN(B2)</f>
        <v>5</v>
      </c>
    </row>
    <row r="12" spans="1:13">
      <c r="A12" s="2">
        <v>11</v>
      </c>
      <c r="B12" s="2" t="s">
        <v>33</v>
      </c>
      <c r="C12" s="2" t="s">
        <v>18</v>
      </c>
      <c r="D12" s="2">
        <v>4600</v>
      </c>
      <c r="E12" s="3">
        <v>45153</v>
      </c>
      <c r="F12" s="2">
        <v>3</v>
      </c>
      <c r="G12" s="2" t="s">
        <v>15</v>
      </c>
      <c r="H12" s="2" t="s">
        <v>16</v>
      </c>
    </row>
    <row r="13" spans="1:13">
      <c r="A13" s="2">
        <v>12</v>
      </c>
      <c r="B13" s="2" t="s">
        <v>34</v>
      </c>
      <c r="C13" s="2" t="s">
        <v>22</v>
      </c>
      <c r="D13" s="2">
        <v>5200</v>
      </c>
      <c r="E13" s="3">
        <v>45356</v>
      </c>
      <c r="F13" s="2">
        <v>4</v>
      </c>
      <c r="G13" s="2" t="s">
        <v>11</v>
      </c>
      <c r="H13" s="2" t="s">
        <v>12</v>
      </c>
    </row>
    <row r="14" spans="1:13">
      <c r="A14" s="2">
        <v>13</v>
      </c>
      <c r="B14" s="2" t="s">
        <v>35</v>
      </c>
      <c r="C14" s="2" t="s">
        <v>10</v>
      </c>
      <c r="D14" s="2">
        <v>4800</v>
      </c>
      <c r="E14" s="3">
        <v>45280</v>
      </c>
      <c r="F14" s="2">
        <v>5</v>
      </c>
      <c r="G14" s="2" t="s">
        <v>19</v>
      </c>
      <c r="H14" s="2" t="s">
        <v>24</v>
      </c>
    </row>
    <row r="15" spans="1:13">
      <c r="A15" s="2">
        <v>14</v>
      </c>
      <c r="B15" s="2" t="s">
        <v>36</v>
      </c>
      <c r="C15" s="2" t="s">
        <v>14</v>
      </c>
      <c r="D15" s="2">
        <v>5000</v>
      </c>
      <c r="E15" s="3">
        <v>45350</v>
      </c>
      <c r="F15" s="2">
        <v>4</v>
      </c>
      <c r="G15" s="2" t="s">
        <v>11</v>
      </c>
      <c r="H15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2CFD-4C2A-4506-B6E5-9636F585A35E}">
  <dimension ref="A1:J15"/>
  <sheetViews>
    <sheetView workbookViewId="0">
      <selection activeCell="F19" sqref="F19"/>
    </sheetView>
  </sheetViews>
  <sheetFormatPr defaultRowHeight="15"/>
  <cols>
    <col min="5" max="5" width="20.7109375" customWidth="1"/>
    <col min="10" max="10" width="28.85546875" bestFit="1" customWidth="1"/>
  </cols>
  <sheetData>
    <row r="1" spans="1:10" ht="2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6" t="s">
        <v>37</v>
      </c>
    </row>
    <row r="2" spans="1:10">
      <c r="A2" s="2">
        <v>1</v>
      </c>
      <c r="B2" s="2" t="s">
        <v>9</v>
      </c>
      <c r="C2" s="2" t="s">
        <v>10</v>
      </c>
      <c r="D2" s="2">
        <v>5000</v>
      </c>
      <c r="E2" s="3">
        <v>45306</v>
      </c>
      <c r="F2" s="2">
        <v>4</v>
      </c>
      <c r="G2" s="2" t="s">
        <v>11</v>
      </c>
      <c r="H2" s="2" t="s">
        <v>12</v>
      </c>
      <c r="J2" s="4" t="str">
        <f>UPPER(B2)</f>
        <v>ALICE</v>
      </c>
    </row>
    <row r="3" spans="1:10" ht="36">
      <c r="A3" s="2">
        <v>2</v>
      </c>
      <c r="B3" s="2" t="s">
        <v>13</v>
      </c>
      <c r="C3" s="2" t="s">
        <v>14</v>
      </c>
      <c r="D3" s="2">
        <v>4500</v>
      </c>
      <c r="E3" s="3">
        <v>45056</v>
      </c>
      <c r="F3" s="2">
        <v>3</v>
      </c>
      <c r="G3" s="2" t="s">
        <v>15</v>
      </c>
      <c r="H3" s="2" t="s">
        <v>16</v>
      </c>
      <c r="J3" s="5" t="s">
        <v>38</v>
      </c>
    </row>
    <row r="4" spans="1:10">
      <c r="A4" s="2">
        <v>3</v>
      </c>
      <c r="B4" s="2" t="s">
        <v>17</v>
      </c>
      <c r="C4" s="2" t="s">
        <v>18</v>
      </c>
      <c r="D4" s="2">
        <v>4700</v>
      </c>
      <c r="E4" s="3">
        <v>44805</v>
      </c>
      <c r="F4" s="2">
        <v>5</v>
      </c>
      <c r="G4" s="2" t="s">
        <v>19</v>
      </c>
      <c r="H4" s="2" t="s">
        <v>12</v>
      </c>
      <c r="J4" s="4" t="str">
        <f>LOWER(B3)</f>
        <v>bob</v>
      </c>
    </row>
    <row r="5" spans="1:10">
      <c r="A5" s="2">
        <v>4</v>
      </c>
      <c r="B5" s="2" t="s">
        <v>21</v>
      </c>
      <c r="C5" s="2" t="s">
        <v>22</v>
      </c>
      <c r="D5" s="2">
        <v>5200</v>
      </c>
      <c r="E5" s="3">
        <v>45371</v>
      </c>
      <c r="F5" s="2">
        <v>2</v>
      </c>
      <c r="G5" s="2" t="s">
        <v>23</v>
      </c>
      <c r="H5" s="2" t="s">
        <v>24</v>
      </c>
      <c r="J5" s="4"/>
    </row>
    <row r="6" spans="1:10" ht="36">
      <c r="A6" s="2">
        <v>5</v>
      </c>
      <c r="B6" s="2" t="s">
        <v>39</v>
      </c>
      <c r="C6" s="2" t="s">
        <v>10</v>
      </c>
      <c r="D6" s="2">
        <v>4800</v>
      </c>
      <c r="E6" s="3">
        <v>45265</v>
      </c>
      <c r="F6" s="2">
        <v>4</v>
      </c>
      <c r="G6" s="2" t="s">
        <v>11</v>
      </c>
      <c r="H6" s="2" t="s">
        <v>16</v>
      </c>
      <c r="J6" s="5" t="s">
        <v>40</v>
      </c>
    </row>
    <row r="7" spans="1:10">
      <c r="A7" s="2">
        <v>6</v>
      </c>
      <c r="B7" s="2" t="s">
        <v>26</v>
      </c>
      <c r="C7" s="2" t="s">
        <v>14</v>
      </c>
      <c r="D7" s="2">
        <v>5100</v>
      </c>
      <c r="E7" s="3">
        <v>45333</v>
      </c>
      <c r="F7" s="2">
        <v>5</v>
      </c>
      <c r="G7" s="2" t="s">
        <v>19</v>
      </c>
      <c r="H7" s="2" t="s">
        <v>12</v>
      </c>
      <c r="J7" s="4" t="str">
        <f>PROPER(B6)</f>
        <v>Ethan</v>
      </c>
    </row>
    <row r="8" spans="1:10">
      <c r="A8" s="2">
        <v>7</v>
      </c>
      <c r="B8" s="2" t="s">
        <v>28</v>
      </c>
      <c r="C8" s="2" t="s">
        <v>18</v>
      </c>
      <c r="D8" s="2">
        <v>4300</v>
      </c>
      <c r="E8" s="3">
        <v>45126</v>
      </c>
      <c r="F8" s="2">
        <v>3</v>
      </c>
      <c r="G8" s="2" t="s">
        <v>15</v>
      </c>
      <c r="H8" s="2" t="s">
        <v>24</v>
      </c>
      <c r="J8" s="4"/>
    </row>
    <row r="9" spans="1:10">
      <c r="A9" s="2">
        <v>8</v>
      </c>
      <c r="B9" s="2" t="s">
        <v>29</v>
      </c>
      <c r="C9" s="2" t="s">
        <v>22</v>
      </c>
      <c r="D9" s="2">
        <v>5000</v>
      </c>
      <c r="E9" s="3">
        <v>44888</v>
      </c>
      <c r="F9" s="2">
        <v>4</v>
      </c>
      <c r="G9" s="2" t="s">
        <v>11</v>
      </c>
      <c r="H9" s="2" t="s">
        <v>16</v>
      </c>
      <c r="J9" s="4" t="s">
        <v>41</v>
      </c>
    </row>
    <row r="10" spans="1:10">
      <c r="A10" s="2">
        <v>9</v>
      </c>
      <c r="B10" s="2" t="s">
        <v>30</v>
      </c>
      <c r="C10" s="2" t="s">
        <v>10</v>
      </c>
      <c r="D10" s="2">
        <v>4700</v>
      </c>
      <c r="E10" s="3">
        <v>45107</v>
      </c>
      <c r="F10" s="2">
        <v>2</v>
      </c>
      <c r="G10" s="2" t="s">
        <v>23</v>
      </c>
      <c r="H10" s="2" t="s">
        <v>12</v>
      </c>
      <c r="J10" s="4" t="str">
        <f>TRIM(B14)</f>
        <v>Michael Lopez</v>
      </c>
    </row>
    <row r="11" spans="1:10" ht="36">
      <c r="A11" s="2">
        <v>10</v>
      </c>
      <c r="B11" s="2" t="s">
        <v>32</v>
      </c>
      <c r="C11" s="2" t="s">
        <v>14</v>
      </c>
      <c r="D11" s="2">
        <v>4900</v>
      </c>
      <c r="E11" s="3">
        <v>45293</v>
      </c>
      <c r="F11" s="2">
        <v>5</v>
      </c>
      <c r="G11" s="2" t="s">
        <v>19</v>
      </c>
      <c r="H11" s="2" t="s">
        <v>24</v>
      </c>
      <c r="J11" s="5" t="s">
        <v>42</v>
      </c>
    </row>
    <row r="12" spans="1:10">
      <c r="A12" s="2">
        <v>11</v>
      </c>
      <c r="B12" s="2" t="s">
        <v>33</v>
      </c>
      <c r="C12" s="2" t="s">
        <v>18</v>
      </c>
      <c r="D12" s="2">
        <v>4600</v>
      </c>
      <c r="E12" s="3">
        <v>45153</v>
      </c>
      <c r="F12" s="2">
        <v>3</v>
      </c>
      <c r="G12" s="2" t="s">
        <v>15</v>
      </c>
      <c r="H12" s="2" t="s">
        <v>16</v>
      </c>
      <c r="J12" s="4" t="str">
        <f>CLEAN(B15)</f>
        <v>Nina</v>
      </c>
    </row>
    <row r="13" spans="1:10">
      <c r="A13" s="2">
        <v>12</v>
      </c>
      <c r="B13" s="2" t="s">
        <v>34</v>
      </c>
      <c r="C13" s="2" t="s">
        <v>22</v>
      </c>
      <c r="D13" s="2">
        <v>5200</v>
      </c>
      <c r="E13" s="3">
        <v>45356</v>
      </c>
      <c r="F13" s="2">
        <v>4</v>
      </c>
      <c r="G13" s="2" t="s">
        <v>11</v>
      </c>
      <c r="H13" s="2" t="s">
        <v>12</v>
      </c>
    </row>
    <row r="14" spans="1:10" ht="29.25">
      <c r="A14" s="2">
        <v>13</v>
      </c>
      <c r="B14" s="2" t="s">
        <v>43</v>
      </c>
      <c r="C14" s="2" t="s">
        <v>10</v>
      </c>
      <c r="D14" s="2">
        <v>4800</v>
      </c>
      <c r="E14" s="3">
        <v>45280</v>
      </c>
      <c r="F14" s="2">
        <v>5</v>
      </c>
      <c r="G14" s="2" t="s">
        <v>19</v>
      </c>
      <c r="H14" s="2" t="s">
        <v>24</v>
      </c>
    </row>
    <row r="15" spans="1:10">
      <c r="A15" s="2">
        <v>14</v>
      </c>
      <c r="B15" s="2" t="s">
        <v>36</v>
      </c>
      <c r="C15" s="2" t="s">
        <v>14</v>
      </c>
      <c r="D15" s="2">
        <v>5000</v>
      </c>
      <c r="E15" s="3">
        <v>45350</v>
      </c>
      <c r="F15" s="2">
        <v>4</v>
      </c>
      <c r="G15" s="2" t="s">
        <v>11</v>
      </c>
      <c r="H15" s="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1B27-E77B-410B-9DF3-867EE415CEE2}">
  <dimension ref="A1:J16"/>
  <sheetViews>
    <sheetView workbookViewId="0">
      <selection activeCell="I23" sqref="I23"/>
    </sheetView>
  </sheetViews>
  <sheetFormatPr defaultRowHeight="15"/>
  <cols>
    <col min="5" max="5" width="20.7109375" customWidth="1"/>
    <col min="10" max="10" width="37" customWidth="1"/>
  </cols>
  <sheetData>
    <row r="1" spans="1:10" ht="2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0">
      <c r="A2" s="2">
        <v>1</v>
      </c>
      <c r="B2" s="2" t="s">
        <v>9</v>
      </c>
      <c r="C2" s="2" t="s">
        <v>10</v>
      </c>
      <c r="D2" s="2">
        <v>5000</v>
      </c>
      <c r="E2" s="3">
        <v>45306</v>
      </c>
      <c r="F2" s="2">
        <v>4</v>
      </c>
      <c r="G2" s="2" t="s">
        <v>11</v>
      </c>
      <c r="H2" s="2" t="s">
        <v>12</v>
      </c>
      <c r="J2" s="4"/>
    </row>
    <row r="3" spans="1:10" ht="17.25">
      <c r="A3" s="2">
        <v>2</v>
      </c>
      <c r="B3" s="2" t="s">
        <v>13</v>
      </c>
      <c r="C3" s="2" t="s">
        <v>14</v>
      </c>
      <c r="D3" s="2">
        <v>4500</v>
      </c>
      <c r="E3" s="3">
        <v>45056</v>
      </c>
      <c r="F3" s="2">
        <v>3</v>
      </c>
      <c r="G3" s="2" t="s">
        <v>15</v>
      </c>
      <c r="H3" s="2" t="s">
        <v>16</v>
      </c>
      <c r="J3" s="5" t="s">
        <v>44</v>
      </c>
    </row>
    <row r="4" spans="1:10">
      <c r="A4" s="2">
        <v>3</v>
      </c>
      <c r="B4" s="2" t="s">
        <v>17</v>
      </c>
      <c r="C4" s="2" t="s">
        <v>18</v>
      </c>
      <c r="D4" s="2">
        <v>4700</v>
      </c>
      <c r="E4" s="3">
        <v>44805</v>
      </c>
      <c r="F4" s="2">
        <v>5</v>
      </c>
      <c r="G4" s="2" t="s">
        <v>19</v>
      </c>
      <c r="H4" s="2" t="s">
        <v>12</v>
      </c>
      <c r="J4" s="4" t="str">
        <f>B2 &amp; "-" &amp; C2</f>
        <v>Alice-Sales</v>
      </c>
    </row>
    <row r="5" spans="1:10">
      <c r="A5" s="2">
        <v>4</v>
      </c>
      <c r="B5" s="2" t="s">
        <v>21</v>
      </c>
      <c r="C5" s="2" t="s">
        <v>22</v>
      </c>
      <c r="D5" s="2">
        <v>5200</v>
      </c>
      <c r="E5" s="3">
        <v>45371</v>
      </c>
      <c r="F5" s="2">
        <v>2</v>
      </c>
      <c r="G5" s="2" t="s">
        <v>23</v>
      </c>
      <c r="H5" s="2" t="s">
        <v>24</v>
      </c>
      <c r="J5" s="4"/>
    </row>
    <row r="6" spans="1:10" ht="17.25">
      <c r="A6" s="2">
        <v>5</v>
      </c>
      <c r="B6" s="2" t="s">
        <v>25</v>
      </c>
      <c r="C6" s="2" t="s">
        <v>10</v>
      </c>
      <c r="D6" s="2">
        <v>4800</v>
      </c>
      <c r="E6" s="3">
        <v>45265</v>
      </c>
      <c r="F6" s="2">
        <v>4</v>
      </c>
      <c r="G6" s="2" t="s">
        <v>11</v>
      </c>
      <c r="H6" s="2" t="s">
        <v>16</v>
      </c>
      <c r="J6" s="5" t="s">
        <v>45</v>
      </c>
    </row>
    <row r="7" spans="1:10">
      <c r="A7" s="2">
        <v>6</v>
      </c>
      <c r="B7" s="2" t="s">
        <v>26</v>
      </c>
      <c r="C7" s="2" t="s">
        <v>14</v>
      </c>
      <c r="D7" s="2">
        <v>5100</v>
      </c>
      <c r="E7" s="3">
        <v>45333</v>
      </c>
      <c r="F7" s="2">
        <v>5</v>
      </c>
      <c r="G7" s="2" t="s">
        <v>19</v>
      </c>
      <c r="H7" s="2" t="s">
        <v>12</v>
      </c>
      <c r="J7" s="4" t="str">
        <f>B5 &amp; " " &amp; C5</f>
        <v>Diana IT</v>
      </c>
    </row>
    <row r="8" spans="1:10">
      <c r="A8" s="2">
        <v>7</v>
      </c>
      <c r="B8" s="2" t="s">
        <v>28</v>
      </c>
      <c r="C8" s="2" t="s">
        <v>18</v>
      </c>
      <c r="D8" s="2">
        <v>4300</v>
      </c>
      <c r="E8" s="3">
        <v>45126</v>
      </c>
      <c r="F8" s="2">
        <v>3</v>
      </c>
      <c r="G8" s="2" t="s">
        <v>15</v>
      </c>
      <c r="H8" s="2" t="s">
        <v>24</v>
      </c>
    </row>
    <row r="9" spans="1:10" ht="17.25">
      <c r="A9" s="2">
        <v>8</v>
      </c>
      <c r="B9" s="2" t="s">
        <v>29</v>
      </c>
      <c r="C9" s="2" t="s">
        <v>22</v>
      </c>
      <c r="D9" s="2">
        <v>5000</v>
      </c>
      <c r="E9" s="3">
        <v>44888</v>
      </c>
      <c r="F9" s="2">
        <v>4</v>
      </c>
      <c r="G9" s="2" t="s">
        <v>11</v>
      </c>
      <c r="H9" s="2" t="s">
        <v>16</v>
      </c>
      <c r="J9" s="5" t="s">
        <v>46</v>
      </c>
    </row>
    <row r="10" spans="1:10">
      <c r="A10" s="2">
        <v>9</v>
      </c>
      <c r="B10" s="2" t="s">
        <v>30</v>
      </c>
      <c r="C10" s="2" t="s">
        <v>10</v>
      </c>
      <c r="D10" s="2">
        <v>4700</v>
      </c>
      <c r="E10" s="3">
        <v>45107</v>
      </c>
      <c r="F10" s="2">
        <v>2</v>
      </c>
      <c r="G10" s="2" t="s">
        <v>23</v>
      </c>
      <c r="H10" s="2" t="s">
        <v>12</v>
      </c>
      <c r="J10" s="4" t="str">
        <f>B8 &amp; "," &amp; C8</f>
        <v>George,HR</v>
      </c>
    </row>
    <row r="11" spans="1:10">
      <c r="A11" s="2">
        <v>10</v>
      </c>
      <c r="B11" s="2" t="s">
        <v>32</v>
      </c>
      <c r="C11" s="2" t="s">
        <v>14</v>
      </c>
      <c r="D11" s="2">
        <v>4900</v>
      </c>
      <c r="E11" s="3">
        <v>45293</v>
      </c>
      <c r="F11" s="2">
        <v>5</v>
      </c>
      <c r="G11" s="2" t="s">
        <v>19</v>
      </c>
      <c r="H11" s="2" t="s">
        <v>24</v>
      </c>
    </row>
    <row r="12" spans="1:10" ht="36">
      <c r="A12" s="2">
        <v>11</v>
      </c>
      <c r="B12" s="2" t="s">
        <v>33</v>
      </c>
      <c r="C12" s="2" t="s">
        <v>18</v>
      </c>
      <c r="D12" s="2">
        <v>4600</v>
      </c>
      <c r="E12" s="3">
        <v>45153</v>
      </c>
      <c r="F12" s="2">
        <v>3</v>
      </c>
      <c r="G12" s="2" t="s">
        <v>15</v>
      </c>
      <c r="H12" s="2" t="s">
        <v>16</v>
      </c>
      <c r="J12" s="5" t="s">
        <v>47</v>
      </c>
    </row>
    <row r="13" spans="1:10">
      <c r="A13" s="2">
        <v>12</v>
      </c>
      <c r="B13" s="2" t="s">
        <v>34</v>
      </c>
      <c r="C13" s="2" t="s">
        <v>22</v>
      </c>
      <c r="D13" s="2">
        <v>5200</v>
      </c>
      <c r="E13" s="3">
        <v>45356</v>
      </c>
      <c r="F13" s="2">
        <v>4</v>
      </c>
      <c r="G13" s="2" t="s">
        <v>11</v>
      </c>
      <c r="H13" s="2" t="s">
        <v>12</v>
      </c>
      <c r="J13" s="4" t="str">
        <f>B11 &amp; "," &amp; " " &amp; C11</f>
        <v>Jane, Marketing</v>
      </c>
    </row>
    <row r="14" spans="1:10">
      <c r="A14" s="2">
        <v>13</v>
      </c>
      <c r="B14" s="2" t="s">
        <v>35</v>
      </c>
      <c r="C14" s="2" t="s">
        <v>10</v>
      </c>
      <c r="D14" s="2">
        <v>4800</v>
      </c>
      <c r="E14" s="3">
        <v>45280</v>
      </c>
      <c r="F14" s="2">
        <v>5</v>
      </c>
      <c r="G14" s="2" t="s">
        <v>19</v>
      </c>
      <c r="H14" s="2" t="s">
        <v>24</v>
      </c>
    </row>
    <row r="15" spans="1:10" ht="17.25">
      <c r="A15" s="2">
        <v>14</v>
      </c>
      <c r="B15" s="2" t="s">
        <v>36</v>
      </c>
      <c r="C15" s="2" t="s">
        <v>14</v>
      </c>
      <c r="D15" s="2">
        <v>5000</v>
      </c>
      <c r="E15" s="3">
        <v>45350</v>
      </c>
      <c r="F15" s="2">
        <v>4</v>
      </c>
      <c r="G15" s="2" t="s">
        <v>11</v>
      </c>
      <c r="H15" s="2" t="s">
        <v>12</v>
      </c>
      <c r="J15" s="5" t="s">
        <v>48</v>
      </c>
    </row>
    <row r="16" spans="1:10">
      <c r="J16" s="4" t="str">
        <f>_xlfn.CONCAT(B3, " (", C3, ")")</f>
        <v>Bob (Marketing)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547E4-C210-4EDE-9628-D0B9835C6E5E}">
  <dimension ref="A1:J17"/>
  <sheetViews>
    <sheetView topLeftCell="A3" workbookViewId="0">
      <selection activeCell="J19" sqref="J19"/>
    </sheetView>
  </sheetViews>
  <sheetFormatPr defaultRowHeight="15"/>
  <cols>
    <col min="5" max="5" width="20.7109375" customWidth="1"/>
    <col min="10" max="10" width="36.5703125" bestFit="1" customWidth="1"/>
  </cols>
  <sheetData>
    <row r="1" spans="1:10" ht="2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4"/>
    </row>
    <row r="2" spans="1:10" ht="33">
      <c r="A2" s="2">
        <v>1</v>
      </c>
      <c r="B2" s="2" t="s">
        <v>9</v>
      </c>
      <c r="C2" s="2" t="s">
        <v>10</v>
      </c>
      <c r="D2" s="2">
        <v>5000</v>
      </c>
      <c r="E2" s="3">
        <v>45306</v>
      </c>
      <c r="F2" s="2">
        <v>4</v>
      </c>
      <c r="G2" s="2" t="s">
        <v>11</v>
      </c>
      <c r="H2" s="2" t="s">
        <v>12</v>
      </c>
      <c r="J2" s="8" t="s">
        <v>49</v>
      </c>
    </row>
    <row r="3" spans="1:10">
      <c r="A3" s="2">
        <v>2</v>
      </c>
      <c r="B3" s="2" t="s">
        <v>13</v>
      </c>
      <c r="C3" s="2" t="s">
        <v>14</v>
      </c>
      <c r="D3" s="2">
        <v>4500</v>
      </c>
      <c r="E3" s="3">
        <v>45056</v>
      </c>
      <c r="F3" s="2">
        <v>3</v>
      </c>
      <c r="G3" s="2" t="s">
        <v>15</v>
      </c>
      <c r="H3" s="2" t="s">
        <v>16</v>
      </c>
      <c r="J3" s="4">
        <f>FIND("a",B4)</f>
        <v>3</v>
      </c>
    </row>
    <row r="4" spans="1:10">
      <c r="A4" s="2">
        <v>3</v>
      </c>
      <c r="B4" s="2" t="s">
        <v>17</v>
      </c>
      <c r="C4" s="2" t="s">
        <v>18</v>
      </c>
      <c r="D4" s="2">
        <v>4700</v>
      </c>
      <c r="E4" s="3">
        <v>44805</v>
      </c>
      <c r="F4" s="2">
        <v>5</v>
      </c>
      <c r="G4" s="2" t="s">
        <v>19</v>
      </c>
      <c r="H4" s="2" t="s">
        <v>12</v>
      </c>
      <c r="J4" s="4"/>
    </row>
    <row r="5" spans="1:10" ht="17.25">
      <c r="A5" s="2">
        <v>4</v>
      </c>
      <c r="B5" s="2" t="s">
        <v>21</v>
      </c>
      <c r="C5" s="2" t="s">
        <v>22</v>
      </c>
      <c r="D5" s="2">
        <v>5200</v>
      </c>
      <c r="E5" s="3">
        <v>45371</v>
      </c>
      <c r="F5" s="2">
        <v>2</v>
      </c>
      <c r="G5" s="2" t="s">
        <v>23</v>
      </c>
      <c r="H5" s="2" t="s">
        <v>24</v>
      </c>
      <c r="J5" s="5" t="s">
        <v>50</v>
      </c>
    </row>
    <row r="6" spans="1:10">
      <c r="A6" s="2">
        <v>5</v>
      </c>
      <c r="B6" s="2" t="s">
        <v>25</v>
      </c>
      <c r="C6" s="2" t="s">
        <v>10</v>
      </c>
      <c r="D6" s="2">
        <v>4800</v>
      </c>
      <c r="E6" s="3">
        <v>45265</v>
      </c>
      <c r="F6" s="2">
        <v>4</v>
      </c>
      <c r="G6" s="2" t="s">
        <v>11</v>
      </c>
      <c r="H6" s="2" t="s">
        <v>16</v>
      </c>
      <c r="J6" s="4" t="str">
        <f>SUBSTITUTE(G2, "Good", "Great")</f>
        <v>Great</v>
      </c>
    </row>
    <row r="7" spans="1:10">
      <c r="A7" s="2">
        <v>6</v>
      </c>
      <c r="B7" s="2" t="s">
        <v>26</v>
      </c>
      <c r="C7" s="2" t="s">
        <v>14</v>
      </c>
      <c r="D7" s="2">
        <v>5100</v>
      </c>
      <c r="E7" s="3">
        <v>45333</v>
      </c>
      <c r="F7" s="2">
        <v>5</v>
      </c>
      <c r="G7" s="2" t="s">
        <v>19</v>
      </c>
      <c r="H7" s="2" t="s">
        <v>12</v>
      </c>
      <c r="J7" s="4"/>
    </row>
    <row r="8" spans="1:10">
      <c r="A8" s="2">
        <v>7</v>
      </c>
      <c r="B8" s="2" t="s">
        <v>28</v>
      </c>
      <c r="C8" s="2" t="s">
        <v>18</v>
      </c>
      <c r="D8" s="2">
        <v>4300</v>
      </c>
      <c r="E8" s="3">
        <v>45126</v>
      </c>
      <c r="F8" s="2">
        <v>3</v>
      </c>
      <c r="G8" s="2" t="s">
        <v>15</v>
      </c>
      <c r="H8" s="2" t="s">
        <v>24</v>
      </c>
      <c r="J8" s="4"/>
    </row>
    <row r="9" spans="1:10" ht="17.25">
      <c r="A9" s="2">
        <v>8</v>
      </c>
      <c r="B9" s="2" t="s">
        <v>29</v>
      </c>
      <c r="C9" s="2" t="s">
        <v>22</v>
      </c>
      <c r="D9" s="2">
        <v>5000</v>
      </c>
      <c r="E9" s="3">
        <v>44888</v>
      </c>
      <c r="F9" s="2">
        <v>4</v>
      </c>
      <c r="G9" s="2" t="s">
        <v>11</v>
      </c>
      <c r="H9" s="2" t="s">
        <v>16</v>
      </c>
      <c r="J9" s="5" t="s">
        <v>51</v>
      </c>
    </row>
    <row r="10" spans="1:10">
      <c r="A10" s="2">
        <v>9</v>
      </c>
      <c r="B10" s="2" t="s">
        <v>30</v>
      </c>
      <c r="C10" s="2" t="s">
        <v>10</v>
      </c>
      <c r="D10" s="2">
        <v>4700</v>
      </c>
      <c r="E10" s="3">
        <v>45107</v>
      </c>
      <c r="F10" s="2">
        <v>2</v>
      </c>
      <c r="G10" s="2" t="s">
        <v>23</v>
      </c>
      <c r="H10" s="2" t="s">
        <v>12</v>
      </c>
      <c r="J10" s="4" t="str">
        <f>REPLACE(H2, 2, 1, "*")</f>
        <v>U*</v>
      </c>
    </row>
    <row r="11" spans="1:10">
      <c r="A11" s="2">
        <v>10</v>
      </c>
      <c r="B11" s="2" t="s">
        <v>32</v>
      </c>
      <c r="C11" s="2" t="s">
        <v>14</v>
      </c>
      <c r="D11" s="2">
        <v>4900</v>
      </c>
      <c r="E11" s="3">
        <v>45293</v>
      </c>
      <c r="F11" s="2">
        <v>5</v>
      </c>
      <c r="G11" s="2" t="s">
        <v>19</v>
      </c>
      <c r="H11" s="2" t="s">
        <v>24</v>
      </c>
    </row>
    <row r="12" spans="1:10">
      <c r="A12" s="2">
        <v>11</v>
      </c>
      <c r="B12" s="2" t="s">
        <v>33</v>
      </c>
      <c r="C12" s="2" t="s">
        <v>18</v>
      </c>
      <c r="D12" s="2">
        <v>4600</v>
      </c>
      <c r="E12" s="3">
        <v>45153</v>
      </c>
      <c r="F12" s="2">
        <v>3</v>
      </c>
      <c r="G12" s="2" t="s">
        <v>15</v>
      </c>
      <c r="H12" s="2" t="s">
        <v>16</v>
      </c>
    </row>
    <row r="13" spans="1:10">
      <c r="A13" s="2">
        <v>12</v>
      </c>
      <c r="B13" s="2" t="s">
        <v>34</v>
      </c>
      <c r="C13" s="2" t="s">
        <v>22</v>
      </c>
      <c r="D13" s="2">
        <v>5200</v>
      </c>
      <c r="E13" s="3">
        <v>45356</v>
      </c>
      <c r="F13" s="2">
        <v>4</v>
      </c>
      <c r="G13" s="2" t="s">
        <v>11</v>
      </c>
      <c r="H13" s="2" t="s">
        <v>12</v>
      </c>
    </row>
    <row r="14" spans="1:10">
      <c r="A14" s="2">
        <v>13</v>
      </c>
      <c r="B14" s="2" t="s">
        <v>35</v>
      </c>
      <c r="C14" s="2" t="s">
        <v>10</v>
      </c>
      <c r="D14" s="2">
        <v>4800</v>
      </c>
      <c r="E14" s="3">
        <v>45280</v>
      </c>
      <c r="F14" s="2">
        <v>5</v>
      </c>
      <c r="G14" s="2" t="s">
        <v>19</v>
      </c>
      <c r="H14" s="2" t="s">
        <v>24</v>
      </c>
      <c r="J14" s="4"/>
    </row>
    <row r="15" spans="1:10">
      <c r="A15" s="2">
        <v>14</v>
      </c>
      <c r="B15" s="2" t="s">
        <v>36</v>
      </c>
      <c r="C15" s="2" t="s">
        <v>14</v>
      </c>
      <c r="D15" s="2">
        <v>5000</v>
      </c>
      <c r="E15" s="3">
        <v>45350</v>
      </c>
      <c r="F15" s="2">
        <v>4</v>
      </c>
      <c r="G15" s="2" t="s">
        <v>11</v>
      </c>
      <c r="H15" s="2" t="s">
        <v>12</v>
      </c>
      <c r="J15" s="4"/>
    </row>
    <row r="16" spans="1:10">
      <c r="J16" s="4"/>
    </row>
    <row r="17" spans="10:10">
      <c r="J1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0965C-A610-4EB7-9131-B7876F71EC92}">
  <dimension ref="A1:L15"/>
  <sheetViews>
    <sheetView tabSelected="1" workbookViewId="0">
      <selection activeCell="E17" sqref="E17"/>
    </sheetView>
  </sheetViews>
  <sheetFormatPr defaultRowHeight="15"/>
  <cols>
    <col min="5" max="5" width="20.7109375" customWidth="1"/>
    <col min="10" max="10" width="24.140625" style="7" bestFit="1" customWidth="1"/>
    <col min="12" max="12" width="25.28515625" bestFit="1" customWidth="1"/>
  </cols>
  <sheetData>
    <row r="1" spans="1:12" ht="29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J1" s="9" t="s">
        <v>52</v>
      </c>
      <c r="L1" s="9" t="s">
        <v>53</v>
      </c>
    </row>
    <row r="2" spans="1:12">
      <c r="A2" s="2">
        <v>1</v>
      </c>
      <c r="B2" s="2" t="s">
        <v>9</v>
      </c>
      <c r="C2" s="2" t="s">
        <v>10</v>
      </c>
      <c r="D2" s="2">
        <v>5000</v>
      </c>
      <c r="E2" s="3">
        <v>45306</v>
      </c>
      <c r="F2" s="2">
        <v>4</v>
      </c>
      <c r="G2" s="2" t="s">
        <v>11</v>
      </c>
      <c r="H2" s="2" t="s">
        <v>12</v>
      </c>
      <c r="J2" s="9" t="str">
        <f>LOWER(PROPER(B2) &amp; "." &amp; "@techcompany.com")</f>
        <v>alice.@techcompany.com</v>
      </c>
      <c r="L2" t="str">
        <f>TEXT(E2, "dd-mmm-yyyy")</f>
        <v>15-Jan-2024</v>
      </c>
    </row>
    <row r="3" spans="1:12">
      <c r="A3" s="2">
        <v>2</v>
      </c>
      <c r="B3" s="2" t="s">
        <v>13</v>
      </c>
      <c r="C3" s="2" t="s">
        <v>14</v>
      </c>
      <c r="D3" s="2">
        <v>4500</v>
      </c>
      <c r="E3" s="3">
        <v>45056</v>
      </c>
      <c r="F3" s="2">
        <v>3</v>
      </c>
      <c r="G3" s="2" t="s">
        <v>15</v>
      </c>
      <c r="H3" s="2" t="s">
        <v>16</v>
      </c>
      <c r="J3" s="9" t="str">
        <f t="shared" ref="J3:J15" si="0">LOWER(PROPER(B3) &amp; "." &amp; "@techcompany.com")</f>
        <v>bob.@techcompany.com</v>
      </c>
    </row>
    <row r="4" spans="1:12">
      <c r="A4" s="2">
        <v>3</v>
      </c>
      <c r="B4" s="2" t="s">
        <v>17</v>
      </c>
      <c r="C4" s="2" t="s">
        <v>18</v>
      </c>
      <c r="D4" s="2">
        <v>4700</v>
      </c>
      <c r="E4" s="3">
        <v>44805</v>
      </c>
      <c r="F4" s="2">
        <v>5</v>
      </c>
      <c r="G4" s="2" t="s">
        <v>19</v>
      </c>
      <c r="H4" s="2" t="s">
        <v>12</v>
      </c>
      <c r="J4" s="9" t="str">
        <f t="shared" si="0"/>
        <v>charlie.@techcompany.com</v>
      </c>
    </row>
    <row r="5" spans="1:12">
      <c r="A5" s="2">
        <v>4</v>
      </c>
      <c r="B5" s="2" t="s">
        <v>21</v>
      </c>
      <c r="C5" s="2" t="s">
        <v>22</v>
      </c>
      <c r="D5" s="2">
        <v>5200</v>
      </c>
      <c r="E5" s="3">
        <v>45371</v>
      </c>
      <c r="F5" s="2">
        <v>2</v>
      </c>
      <c r="G5" s="2" t="s">
        <v>23</v>
      </c>
      <c r="H5" s="2" t="s">
        <v>24</v>
      </c>
      <c r="J5" s="9" t="str">
        <f t="shared" si="0"/>
        <v>diana.@techcompany.com</v>
      </c>
    </row>
    <row r="6" spans="1:12">
      <c r="A6" s="2">
        <v>5</v>
      </c>
      <c r="B6" s="2" t="s">
        <v>25</v>
      </c>
      <c r="C6" s="2" t="s">
        <v>10</v>
      </c>
      <c r="D6" s="2">
        <v>4800</v>
      </c>
      <c r="E6" s="3">
        <v>45265</v>
      </c>
      <c r="F6" s="2">
        <v>4</v>
      </c>
      <c r="G6" s="2" t="s">
        <v>11</v>
      </c>
      <c r="H6" s="2" t="s">
        <v>16</v>
      </c>
      <c r="J6" s="9" t="str">
        <f t="shared" si="0"/>
        <v>ethan.@techcompany.com</v>
      </c>
    </row>
    <row r="7" spans="1:12">
      <c r="A7" s="2">
        <v>6</v>
      </c>
      <c r="B7" s="2" t="s">
        <v>26</v>
      </c>
      <c r="C7" s="2" t="s">
        <v>14</v>
      </c>
      <c r="D7" s="2">
        <v>5100</v>
      </c>
      <c r="E7" s="3">
        <v>45333</v>
      </c>
      <c r="F7" s="2">
        <v>5</v>
      </c>
      <c r="G7" s="2" t="s">
        <v>19</v>
      </c>
      <c r="H7" s="2" t="s">
        <v>12</v>
      </c>
      <c r="J7" s="9" t="str">
        <f t="shared" si="0"/>
        <v>fiona.@techcompany.com</v>
      </c>
    </row>
    <row r="8" spans="1:12">
      <c r="A8" s="2">
        <v>7</v>
      </c>
      <c r="B8" s="2" t="s">
        <v>28</v>
      </c>
      <c r="C8" s="2" t="s">
        <v>18</v>
      </c>
      <c r="D8" s="2">
        <v>4300</v>
      </c>
      <c r="E8" s="3">
        <v>45126</v>
      </c>
      <c r="F8" s="2">
        <v>3</v>
      </c>
      <c r="G8" s="2" t="s">
        <v>15</v>
      </c>
      <c r="H8" s="2" t="s">
        <v>24</v>
      </c>
      <c r="J8" s="9" t="str">
        <f t="shared" si="0"/>
        <v>george.@techcompany.com</v>
      </c>
    </row>
    <row r="9" spans="1:12">
      <c r="A9" s="2">
        <v>8</v>
      </c>
      <c r="B9" s="2" t="s">
        <v>29</v>
      </c>
      <c r="C9" s="2" t="s">
        <v>22</v>
      </c>
      <c r="D9" s="2">
        <v>5000</v>
      </c>
      <c r="E9" s="3">
        <v>44888</v>
      </c>
      <c r="F9" s="2">
        <v>4</v>
      </c>
      <c r="G9" s="2" t="s">
        <v>11</v>
      </c>
      <c r="H9" s="2" t="s">
        <v>16</v>
      </c>
      <c r="J9" s="9" t="str">
        <f t="shared" si="0"/>
        <v>hannah.@techcompany.com</v>
      </c>
    </row>
    <row r="10" spans="1:12">
      <c r="A10" s="2">
        <v>9</v>
      </c>
      <c r="B10" s="2" t="s">
        <v>30</v>
      </c>
      <c r="C10" s="2" t="s">
        <v>10</v>
      </c>
      <c r="D10" s="2">
        <v>4700</v>
      </c>
      <c r="E10" s="3">
        <v>45107</v>
      </c>
      <c r="F10" s="2">
        <v>2</v>
      </c>
      <c r="G10" s="2" t="s">
        <v>23</v>
      </c>
      <c r="H10" s="2" t="s">
        <v>12</v>
      </c>
      <c r="J10" s="9" t="str">
        <f t="shared" si="0"/>
        <v>ian.@techcompany.com</v>
      </c>
    </row>
    <row r="11" spans="1:12">
      <c r="A11" s="2">
        <v>10</v>
      </c>
      <c r="B11" s="2" t="s">
        <v>32</v>
      </c>
      <c r="C11" s="2" t="s">
        <v>14</v>
      </c>
      <c r="D11" s="2">
        <v>4900</v>
      </c>
      <c r="E11" s="3">
        <v>45293</v>
      </c>
      <c r="F11" s="2">
        <v>5</v>
      </c>
      <c r="G11" s="2" t="s">
        <v>19</v>
      </c>
      <c r="H11" s="2" t="s">
        <v>24</v>
      </c>
      <c r="J11" s="9" t="str">
        <f t="shared" si="0"/>
        <v>jane.@techcompany.com</v>
      </c>
    </row>
    <row r="12" spans="1:12">
      <c r="A12" s="2">
        <v>11</v>
      </c>
      <c r="B12" s="2" t="s">
        <v>33</v>
      </c>
      <c r="C12" s="2" t="s">
        <v>18</v>
      </c>
      <c r="D12" s="2">
        <v>4600</v>
      </c>
      <c r="E12" s="3">
        <v>45153</v>
      </c>
      <c r="F12" s="2">
        <v>3</v>
      </c>
      <c r="G12" s="2" t="s">
        <v>15</v>
      </c>
      <c r="H12" s="2" t="s">
        <v>16</v>
      </c>
      <c r="J12" s="9" t="str">
        <f t="shared" si="0"/>
        <v>kevin.@techcompany.com</v>
      </c>
    </row>
    <row r="13" spans="1:12">
      <c r="A13" s="2">
        <v>12</v>
      </c>
      <c r="B13" s="2" t="s">
        <v>34</v>
      </c>
      <c r="C13" s="2" t="s">
        <v>22</v>
      </c>
      <c r="D13" s="2">
        <v>5200</v>
      </c>
      <c r="E13" s="3">
        <v>45356</v>
      </c>
      <c r="F13" s="2">
        <v>4</v>
      </c>
      <c r="G13" s="2" t="s">
        <v>11</v>
      </c>
      <c r="H13" s="2" t="s">
        <v>12</v>
      </c>
      <c r="J13" s="9" t="str">
        <f t="shared" si="0"/>
        <v>laura.@techcompany.com</v>
      </c>
    </row>
    <row r="14" spans="1:12">
      <c r="A14" s="2">
        <v>13</v>
      </c>
      <c r="B14" s="2" t="s">
        <v>35</v>
      </c>
      <c r="C14" s="2" t="s">
        <v>10</v>
      </c>
      <c r="D14" s="2">
        <v>4800</v>
      </c>
      <c r="E14" s="3">
        <v>45280</v>
      </c>
      <c r="F14" s="2">
        <v>5</v>
      </c>
      <c r="G14" s="2" t="s">
        <v>19</v>
      </c>
      <c r="H14" s="2" t="s">
        <v>24</v>
      </c>
      <c r="J14" s="9" t="str">
        <f t="shared" si="0"/>
        <v>michael.@techcompany.com</v>
      </c>
    </row>
    <row r="15" spans="1:12">
      <c r="A15" s="2">
        <v>14</v>
      </c>
      <c r="B15" s="2" t="s">
        <v>36</v>
      </c>
      <c r="C15" s="2" t="s">
        <v>14</v>
      </c>
      <c r="D15" s="2">
        <v>5000</v>
      </c>
      <c r="E15" s="3">
        <v>45350</v>
      </c>
      <c r="F15" s="2">
        <v>4</v>
      </c>
      <c r="G15" s="2" t="s">
        <v>11</v>
      </c>
      <c r="H15" s="2" t="s">
        <v>12</v>
      </c>
      <c r="J15" s="9" t="str">
        <f t="shared" si="0"/>
        <v>nina.@techcompany.com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2025-12-16T09:53:43Z</dcterms:created>
  <dcterms:modified xsi:type="dcterms:W3CDTF">2025-12-16T10:40:44Z</dcterms:modified>
  <cp:category/>
  <cp:contentStatus/>
</cp:coreProperties>
</file>